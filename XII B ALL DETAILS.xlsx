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19180" windowHeight="7820" tabRatio="775"/>
  </bookViews>
  <sheets>
    <sheet name="overall data" sheetId="1" r:id="rId1"/>
  </sheets>
  <definedNames>
    <definedName name="_xlnm._FilterDatabase" localSheetId="0" hidden="1">'overall data'!$A$1:$V$65</definedName>
    <definedName name="_xlnm.Print_Area" localSheetId="0">'overall data'!$A$1:$V$64</definedName>
    <definedName name="_xlnm.Print_Titles" localSheetId="0">'overall data'!$J:$J,'overall data'!$1:$1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64" i="1" l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  <c r="Z64" i="1" l="1"/>
  <c r="AC64" i="1" s="1"/>
  <c r="X64" i="1"/>
  <c r="Z63" i="1"/>
  <c r="AC63" i="1" s="1"/>
  <c r="X63" i="1"/>
  <c r="Z62" i="1"/>
  <c r="AA62" i="1" s="1"/>
  <c r="X62" i="1"/>
  <c r="Z61" i="1"/>
  <c r="AA61" i="1" s="1"/>
  <c r="X61" i="1"/>
  <c r="Z60" i="1"/>
  <c r="AC60" i="1" s="1"/>
  <c r="X60" i="1"/>
  <c r="Z59" i="1"/>
  <c r="AC59" i="1" s="1"/>
  <c r="X59" i="1"/>
  <c r="Z58" i="1"/>
  <c r="AC58" i="1" s="1"/>
  <c r="X58" i="1"/>
  <c r="Z57" i="1"/>
  <c r="AC57" i="1" s="1"/>
  <c r="X57" i="1"/>
  <c r="Z56" i="1"/>
  <c r="AC56" i="1" s="1"/>
  <c r="AF56" i="1" s="1"/>
  <c r="AG56" i="1" s="1"/>
  <c r="X56" i="1"/>
  <c r="Z55" i="1"/>
  <c r="AC55" i="1" s="1"/>
  <c r="X55" i="1"/>
  <c r="Z54" i="1"/>
  <c r="AC54" i="1" s="1"/>
  <c r="X54" i="1"/>
  <c r="Z53" i="1"/>
  <c r="AC53" i="1" s="1"/>
  <c r="X53" i="1"/>
  <c r="Z52" i="1"/>
  <c r="AC52" i="1" s="1"/>
  <c r="X52" i="1"/>
  <c r="Z51" i="1"/>
  <c r="AC51" i="1" s="1"/>
  <c r="X51" i="1"/>
  <c r="Z50" i="1"/>
  <c r="AA50" i="1" s="1"/>
  <c r="X50" i="1"/>
  <c r="Z49" i="1"/>
  <c r="AA49" i="1" s="1"/>
  <c r="X49" i="1"/>
  <c r="Z48" i="1"/>
  <c r="AC48" i="1" s="1"/>
  <c r="X48" i="1"/>
  <c r="Z47" i="1"/>
  <c r="AC47" i="1" s="1"/>
  <c r="X47" i="1"/>
  <c r="Z46" i="1"/>
  <c r="AC46" i="1" s="1"/>
  <c r="X46" i="1"/>
  <c r="Z45" i="1"/>
  <c r="AC45" i="1" s="1"/>
  <c r="X45" i="1"/>
  <c r="Z44" i="1"/>
  <c r="AA44" i="1" s="1"/>
  <c r="X44" i="1"/>
  <c r="Z43" i="1"/>
  <c r="AC43" i="1" s="1"/>
  <c r="X43" i="1"/>
  <c r="Z42" i="1"/>
  <c r="AC42" i="1" s="1"/>
  <c r="X42" i="1"/>
  <c r="Z41" i="1"/>
  <c r="AC41" i="1" s="1"/>
  <c r="X41" i="1"/>
  <c r="Z40" i="1"/>
  <c r="AA40" i="1" s="1"/>
  <c r="X40" i="1"/>
  <c r="Z39" i="1"/>
  <c r="AC39" i="1" s="1"/>
  <c r="X39" i="1"/>
  <c r="Z38" i="1"/>
  <c r="AA38" i="1" s="1"/>
  <c r="X38" i="1"/>
  <c r="Z37" i="1"/>
  <c r="AA37" i="1" s="1"/>
  <c r="X37" i="1"/>
  <c r="Z36" i="1"/>
  <c r="AC36" i="1" s="1"/>
  <c r="X36" i="1"/>
  <c r="Z35" i="1"/>
  <c r="AA35" i="1" s="1"/>
  <c r="X35" i="1"/>
  <c r="Z34" i="1"/>
  <c r="AC34" i="1" s="1"/>
  <c r="X34" i="1"/>
  <c r="Z33" i="1"/>
  <c r="AC33" i="1" s="1"/>
  <c r="X33" i="1"/>
  <c r="Z32" i="1"/>
  <c r="AC32" i="1" s="1"/>
  <c r="AF32" i="1" s="1"/>
  <c r="AG32" i="1" s="1"/>
  <c r="X32" i="1"/>
  <c r="Z31" i="1"/>
  <c r="AC31" i="1" s="1"/>
  <c r="X31" i="1"/>
  <c r="Z30" i="1"/>
  <c r="AC30" i="1" s="1"/>
  <c r="X30" i="1"/>
  <c r="Z29" i="1"/>
  <c r="AC29" i="1" s="1"/>
  <c r="X29" i="1"/>
  <c r="Z28" i="1"/>
  <c r="AA28" i="1" s="1"/>
  <c r="X28" i="1"/>
  <c r="Z27" i="1"/>
  <c r="AC27" i="1" s="1"/>
  <c r="X27" i="1"/>
  <c r="Z26" i="1"/>
  <c r="AC26" i="1" s="1"/>
  <c r="X26" i="1"/>
  <c r="Z25" i="1"/>
  <c r="AC25" i="1" s="1"/>
  <c r="X25" i="1"/>
  <c r="Z24" i="1"/>
  <c r="AC24" i="1" s="1"/>
  <c r="AF24" i="1" s="1"/>
  <c r="AG24" i="1" s="1"/>
  <c r="X24" i="1"/>
  <c r="Z23" i="1"/>
  <c r="AA23" i="1" s="1"/>
  <c r="X23" i="1"/>
  <c r="Z22" i="1"/>
  <c r="AC22" i="1" s="1"/>
  <c r="X22" i="1"/>
  <c r="Z21" i="1"/>
  <c r="AC21" i="1" s="1"/>
  <c r="X21" i="1"/>
  <c r="Z20" i="1"/>
  <c r="AA20" i="1" s="1"/>
  <c r="X20" i="1"/>
  <c r="Z19" i="1"/>
  <c r="AA19" i="1" s="1"/>
  <c r="X19" i="1"/>
  <c r="Z18" i="1"/>
  <c r="AA18" i="1" s="1"/>
  <c r="X18" i="1"/>
  <c r="Z17" i="1"/>
  <c r="AA17" i="1" s="1"/>
  <c r="X17" i="1"/>
  <c r="Z16" i="1"/>
  <c r="AA16" i="1" s="1"/>
  <c r="X16" i="1"/>
  <c r="Z15" i="1"/>
  <c r="AA15" i="1" s="1"/>
  <c r="X15" i="1"/>
  <c r="Z14" i="1"/>
  <c r="AC14" i="1" s="1"/>
  <c r="X14" i="1"/>
  <c r="Z13" i="1"/>
  <c r="AC13" i="1" s="1"/>
  <c r="X13" i="1"/>
  <c r="Z12" i="1"/>
  <c r="AC12" i="1" s="1"/>
  <c r="X12" i="1"/>
  <c r="Z11" i="1"/>
  <c r="AC11" i="1" s="1"/>
  <c r="AF11" i="1" s="1"/>
  <c r="AG11" i="1" s="1"/>
  <c r="X11" i="1"/>
  <c r="Z10" i="1"/>
  <c r="AC10" i="1" s="1"/>
  <c r="X10" i="1"/>
  <c r="Z9" i="1"/>
  <c r="AC9" i="1" s="1"/>
  <c r="X9" i="1"/>
  <c r="Z8" i="1"/>
  <c r="AA8" i="1" s="1"/>
  <c r="X8" i="1"/>
  <c r="Z7" i="1"/>
  <c r="AC7" i="1" s="1"/>
  <c r="X7" i="1"/>
  <c r="Z6" i="1"/>
  <c r="AC6" i="1" s="1"/>
  <c r="X6" i="1"/>
  <c r="Z5" i="1"/>
  <c r="AA5" i="1" s="1"/>
  <c r="X5" i="1"/>
  <c r="Z4" i="1"/>
  <c r="AC4" i="1" s="1"/>
  <c r="X4" i="1"/>
  <c r="Z3" i="1"/>
  <c r="AC3" i="1" s="1"/>
  <c r="X3" i="1"/>
  <c r="Z2" i="1"/>
  <c r="AC2" i="1" s="1"/>
  <c r="X2" i="1"/>
  <c r="AC18" i="1" l="1"/>
  <c r="AD18" i="1" s="1"/>
  <c r="AA39" i="1"/>
  <c r="AC15" i="1"/>
  <c r="AD15" i="1" s="1"/>
  <c r="AC44" i="1"/>
  <c r="AF44" i="1" s="1"/>
  <c r="AG44" i="1" s="1"/>
  <c r="AA11" i="1"/>
  <c r="AD3" i="1"/>
  <c r="AF3" i="1"/>
  <c r="AG3" i="1" s="1"/>
  <c r="AD47" i="1"/>
  <c r="AF47" i="1"/>
  <c r="AG47" i="1" s="1"/>
  <c r="AF4" i="1"/>
  <c r="AG4" i="1" s="1"/>
  <c r="AD4" i="1"/>
  <c r="AF39" i="1"/>
  <c r="AG39" i="1" s="1"/>
  <c r="AD39" i="1"/>
  <c r="AD59" i="1"/>
  <c r="AF59" i="1"/>
  <c r="AG59" i="1" s="1"/>
  <c r="AF27" i="1"/>
  <c r="AG27" i="1" s="1"/>
  <c r="AD27" i="1"/>
  <c r="AD6" i="1"/>
  <c r="AF6" i="1"/>
  <c r="AG6" i="1" s="1"/>
  <c r="AF51" i="1"/>
  <c r="AG51" i="1" s="1"/>
  <c r="AD51" i="1"/>
  <c r="AF63" i="1"/>
  <c r="AG63" i="1" s="1"/>
  <c r="AD63" i="1"/>
  <c r="AA4" i="1"/>
  <c r="AA27" i="1"/>
  <c r="AC23" i="1"/>
  <c r="AF23" i="1" s="1"/>
  <c r="AG23" i="1" s="1"/>
  <c r="AA51" i="1"/>
  <c r="AC62" i="1"/>
  <c r="AF62" i="1" s="1"/>
  <c r="AG62" i="1" s="1"/>
  <c r="AA59" i="1"/>
  <c r="AC35" i="1"/>
  <c r="AA12" i="1"/>
  <c r="AA41" i="1"/>
  <c r="AA32" i="1"/>
  <c r="AA63" i="1"/>
  <c r="AC40" i="1"/>
  <c r="AF40" i="1" s="1"/>
  <c r="AG40" i="1" s="1"/>
  <c r="AC8" i="1"/>
  <c r="AF8" i="1" s="1"/>
  <c r="AG8" i="1" s="1"/>
  <c r="AA45" i="1"/>
  <c r="AC49" i="1"/>
  <c r="AA56" i="1"/>
  <c r="AC28" i="1"/>
  <c r="AF28" i="1" s="1"/>
  <c r="AG28" i="1" s="1"/>
  <c r="AA3" i="1"/>
  <c r="AF18" i="1"/>
  <c r="AG18" i="1" s="1"/>
  <c r="AA31" i="1"/>
  <c r="AA55" i="1"/>
  <c r="AC16" i="1"/>
  <c r="AC38" i="1"/>
  <c r="AA24" i="1"/>
  <c r="AC5" i="1"/>
  <c r="AF5" i="1" s="1"/>
  <c r="AG5" i="1" s="1"/>
  <c r="AC17" i="1"/>
  <c r="AD17" i="1" s="1"/>
  <c r="AA29" i="1"/>
  <c r="AA33" i="1"/>
  <c r="AA43" i="1"/>
  <c r="AA47" i="1"/>
  <c r="AA53" i="1"/>
  <c r="AA57" i="1"/>
  <c r="AA6" i="1"/>
  <c r="AC37" i="1"/>
  <c r="AC61" i="1"/>
  <c r="AC50" i="1"/>
  <c r="AF50" i="1" s="1"/>
  <c r="AG50" i="1" s="1"/>
  <c r="AF55" i="1"/>
  <c r="AG55" i="1" s="1"/>
  <c r="AD55" i="1"/>
  <c r="AF12" i="1"/>
  <c r="AG12" i="1" s="1"/>
  <c r="AD12" i="1"/>
  <c r="AF7" i="1"/>
  <c r="AG7" i="1" s="1"/>
  <c r="AD7" i="1"/>
  <c r="AF48" i="1"/>
  <c r="AG48" i="1" s="1"/>
  <c r="AD48" i="1"/>
  <c r="AF41" i="1"/>
  <c r="AG41" i="1" s="1"/>
  <c r="AD41" i="1"/>
  <c r="AD13" i="1"/>
  <c r="AF13" i="1"/>
  <c r="AG13" i="1" s="1"/>
  <c r="AF46" i="1"/>
  <c r="AG46" i="1" s="1"/>
  <c r="AD46" i="1"/>
  <c r="AF31" i="1"/>
  <c r="AG31" i="1" s="1"/>
  <c r="AD31" i="1"/>
  <c r="AF45" i="1"/>
  <c r="AG45" i="1" s="1"/>
  <c r="AD45" i="1"/>
  <c r="AF2" i="1"/>
  <c r="AG2" i="1" s="1"/>
  <c r="AD2" i="1"/>
  <c r="AD42" i="1"/>
  <c r="AF42" i="1"/>
  <c r="AG42" i="1" s="1"/>
  <c r="AF52" i="1"/>
  <c r="AG52" i="1" s="1"/>
  <c r="AD52" i="1"/>
  <c r="AD9" i="1"/>
  <c r="AF9" i="1"/>
  <c r="AG9" i="1" s="1"/>
  <c r="AF36" i="1"/>
  <c r="AG36" i="1" s="1"/>
  <c r="AD36" i="1"/>
  <c r="AF60" i="1"/>
  <c r="AG60" i="1" s="1"/>
  <c r="AD60" i="1"/>
  <c r="AF14" i="1"/>
  <c r="AG14" i="1" s="1"/>
  <c r="AD14" i="1"/>
  <c r="AD21" i="1"/>
  <c r="AF21" i="1"/>
  <c r="AG21" i="1" s="1"/>
  <c r="AD25" i="1"/>
  <c r="AF25" i="1"/>
  <c r="AG25" i="1" s="1"/>
  <c r="AF29" i="1"/>
  <c r="AG29" i="1" s="1"/>
  <c r="AD29" i="1"/>
  <c r="AF33" i="1"/>
  <c r="AG33" i="1" s="1"/>
  <c r="AD33" i="1"/>
  <c r="AF43" i="1"/>
  <c r="AG43" i="1" s="1"/>
  <c r="AD43" i="1"/>
  <c r="AF53" i="1"/>
  <c r="AG53" i="1" s="1"/>
  <c r="AD53" i="1"/>
  <c r="AF57" i="1"/>
  <c r="AG57" i="1" s="1"/>
  <c r="AD57" i="1"/>
  <c r="AD10" i="1"/>
  <c r="AF10" i="1"/>
  <c r="AG10" i="1" s="1"/>
  <c r="AD22" i="1"/>
  <c r="AF22" i="1"/>
  <c r="AG22" i="1" s="1"/>
  <c r="AF26" i="1"/>
  <c r="AG26" i="1" s="1"/>
  <c r="AD26" i="1"/>
  <c r="AD30" i="1"/>
  <c r="AF30" i="1"/>
  <c r="AG30" i="1" s="1"/>
  <c r="AF34" i="1"/>
  <c r="AG34" i="1" s="1"/>
  <c r="AD34" i="1"/>
  <c r="AD54" i="1"/>
  <c r="AF54" i="1"/>
  <c r="AG54" i="1" s="1"/>
  <c r="AF58" i="1"/>
  <c r="AG58" i="1" s="1"/>
  <c r="AD58" i="1"/>
  <c r="AF64" i="1"/>
  <c r="AG64" i="1" s="1"/>
  <c r="AD64" i="1"/>
  <c r="AA10" i="1"/>
  <c r="AA22" i="1"/>
  <c r="AD32" i="1"/>
  <c r="AA34" i="1"/>
  <c r="AD44" i="1"/>
  <c r="AA46" i="1"/>
  <c r="AD56" i="1"/>
  <c r="AA58" i="1"/>
  <c r="AA36" i="1"/>
  <c r="AA48" i="1"/>
  <c r="AA60" i="1"/>
  <c r="AA2" i="1"/>
  <c r="AA14" i="1"/>
  <c r="AF17" i="1"/>
  <c r="AG17" i="1" s="1"/>
  <c r="AC19" i="1"/>
  <c r="AD24" i="1"/>
  <c r="AA26" i="1"/>
  <c r="AC20" i="1"/>
  <c r="AA7" i="1"/>
  <c r="AA9" i="1"/>
  <c r="AA21" i="1"/>
  <c r="AA52" i="1"/>
  <c r="AA64" i="1"/>
  <c r="AA30" i="1"/>
  <c r="AA42" i="1"/>
  <c r="AA54" i="1"/>
  <c r="AA25" i="1"/>
  <c r="AD11" i="1"/>
  <c r="AA13" i="1"/>
  <c r="AD50" i="1" l="1"/>
  <c r="AF15" i="1"/>
  <c r="AG15" i="1" s="1"/>
  <c r="AD62" i="1"/>
  <c r="AD8" i="1"/>
  <c r="AD23" i="1"/>
  <c r="AD61" i="1"/>
  <c r="AF61" i="1"/>
  <c r="AG61" i="1" s="1"/>
  <c r="AD5" i="1"/>
  <c r="AD16" i="1"/>
  <c r="AF16" i="1"/>
  <c r="AG16" i="1" s="1"/>
  <c r="AD49" i="1"/>
  <c r="AF49" i="1"/>
  <c r="AG49" i="1" s="1"/>
  <c r="AD38" i="1"/>
  <c r="AF38" i="1"/>
  <c r="AG38" i="1" s="1"/>
  <c r="AD37" i="1"/>
  <c r="AF37" i="1"/>
  <c r="AG37" i="1" s="1"/>
  <c r="AD40" i="1"/>
  <c r="AD35" i="1"/>
  <c r="AF35" i="1"/>
  <c r="AG35" i="1" s="1"/>
  <c r="AD28" i="1"/>
  <c r="AF19" i="1"/>
  <c r="AG19" i="1" s="1"/>
  <c r="AD19" i="1"/>
  <c r="AF20" i="1"/>
  <c r="AG20" i="1" s="1"/>
  <c r="AD20" i="1"/>
</calcChain>
</file>

<file path=xl/connections.xml><?xml version="1.0" encoding="utf-8"?>
<connections xmlns="http://schemas.openxmlformats.org/spreadsheetml/2006/main">
  <connection id="1" sourceFile="C:\Users\abic13296.abic13296-PC\Documents\11B 2025-26 SHASHANK 1.xlsx" keepAlive="1" name="11B 2025-26 SHASHANK 1" type="5" refreshedVersion="0" new="1" background="1">
    <dbPr connection="Provider=Microsoft.ACE.OLEDB.12.0;Password=&quot;&quot;;User ID=Admin;Data Source=C:\Users\abic13296.abic13296-PC\Documents\11B 2025-26 SHASHANK 1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heet1 (2)$'" commandType="3"/>
  </connection>
</connections>
</file>

<file path=xl/sharedStrings.xml><?xml version="1.0" encoding="utf-8"?>
<sst xmlns="http://schemas.openxmlformats.org/spreadsheetml/2006/main" count="2907" uniqueCount="2063">
  <si>
    <t>S.R. NO.</t>
  </si>
  <si>
    <t>roll numer 10th</t>
  </si>
  <si>
    <t>PEN NUMBER</t>
  </si>
  <si>
    <t>AADHAR NO.</t>
  </si>
  <si>
    <t>DD</t>
  </si>
  <si>
    <t>MM</t>
  </si>
  <si>
    <t>YYYY</t>
  </si>
  <si>
    <t>STUDENT'S NAME</t>
  </si>
  <si>
    <t>FATHER'S NAME</t>
  </si>
  <si>
    <t>MOTHER'S NAME</t>
  </si>
  <si>
    <t>GENDER</t>
  </si>
  <si>
    <t>CASTE</t>
  </si>
  <si>
    <t>CAT.</t>
  </si>
  <si>
    <t>RELIGION</t>
  </si>
  <si>
    <t xml:space="preserve">ADDRESS </t>
  </si>
  <si>
    <t>MOB. NO.</t>
  </si>
  <si>
    <t>EMAIL ID</t>
  </si>
  <si>
    <t>19</t>
  </si>
  <si>
    <t>11</t>
  </si>
  <si>
    <t>2008</t>
  </si>
  <si>
    <t>ABHIMANYU YADAV</t>
  </si>
  <si>
    <t>SRILAL YADAV</t>
  </si>
  <si>
    <t>SONA DEVI</t>
  </si>
  <si>
    <t>M</t>
  </si>
  <si>
    <t>AHIR</t>
  </si>
  <si>
    <t>OBC</t>
  </si>
  <si>
    <t>H</t>
  </si>
  <si>
    <t>RAM NARAYAN KATRA RENUKOOT</t>
  </si>
  <si>
    <t>SONARKT1980@GMAIL.COM</t>
  </si>
  <si>
    <t>9392-9598-5025</t>
  </si>
  <si>
    <t>24</t>
  </si>
  <si>
    <t>02</t>
  </si>
  <si>
    <t>2009</t>
  </si>
  <si>
    <t>AJIT KUMAR</t>
  </si>
  <si>
    <t>MANOJ RAM</t>
  </si>
  <si>
    <t>SHEELA DEVI</t>
  </si>
  <si>
    <t>HARIJAN</t>
  </si>
  <si>
    <t>SC</t>
  </si>
  <si>
    <t>H1/35 ABCIL RENUKOOT</t>
  </si>
  <si>
    <t>AJITKUMAR93RKT@GMAIL.COM</t>
  </si>
  <si>
    <t>4253-7939-5883</t>
  </si>
  <si>
    <t>06</t>
  </si>
  <si>
    <t>05</t>
  </si>
  <si>
    <t>AKEEB AHMAD</t>
  </si>
  <si>
    <t>ZULPHIKAR AHMAD</t>
  </si>
  <si>
    <t>NAGMA BEGAM</t>
  </si>
  <si>
    <t>ISLAM</t>
  </si>
  <si>
    <t>GEN</t>
  </si>
  <si>
    <t>L-1072 HINDALCO COLONY RENUKOOT</t>
  </si>
  <si>
    <t>AAKEEBAHMAD4@GMAIL.COM</t>
  </si>
  <si>
    <t>17</t>
  </si>
  <si>
    <t>ANKIT KUMAR SHARMA</t>
  </si>
  <si>
    <t>ARVIND KUMAR SHARMA</t>
  </si>
  <si>
    <t>GUNJA DEVI</t>
  </si>
  <si>
    <t>LOHAR</t>
  </si>
  <si>
    <t>HOUSE NUMBER 340 WARD NUMBER 16 SABJI MANDI RENUKUT</t>
  </si>
  <si>
    <t>ANKIT09RKT@GMAIL.COM</t>
  </si>
  <si>
    <t>01</t>
  </si>
  <si>
    <t>2011</t>
  </si>
  <si>
    <t>ANMOL KUMAR</t>
  </si>
  <si>
    <t>SHIV POOJAN</t>
  </si>
  <si>
    <t>DEV LATA DEVI</t>
  </si>
  <si>
    <t>RONIYAR</t>
  </si>
  <si>
    <t>VISHWAKARMA NAGAR RENUKOOT</t>
  </si>
  <si>
    <t>AWANITK94@GMAIL.COM</t>
  </si>
  <si>
    <t>07</t>
  </si>
  <si>
    <t>ANURAG GUPTA</t>
  </si>
  <si>
    <t>BANARSI PRASAD</t>
  </si>
  <si>
    <t>RAMAVTI</t>
  </si>
  <si>
    <t>KANDU</t>
  </si>
  <si>
    <t>IN FRONT OF C226 HUT, TURRA, PIPRI,</t>
  </si>
  <si>
    <t>BANARASIPRASAD00@GMAIL.COM</t>
  </si>
  <si>
    <t>2270-9714-1598</t>
  </si>
  <si>
    <t>10</t>
  </si>
  <si>
    <t>08</t>
  </si>
  <si>
    <t>AWDHESH KUMAR</t>
  </si>
  <si>
    <t>DEVDUTT YADAV</t>
  </si>
  <si>
    <t>KIRAN DEVI</t>
  </si>
  <si>
    <t>I 708 HINDALCO COLONY RENUKOOT</t>
  </si>
  <si>
    <t>SUDESHWAR.PRASAD@GMAIL.COM</t>
  </si>
  <si>
    <t>2915-1341-6139</t>
  </si>
  <si>
    <t>04</t>
  </si>
  <si>
    <t>AYUSH KUMAR</t>
  </si>
  <si>
    <t>PARMESHWAR KUMAR</t>
  </si>
  <si>
    <t>SARITA SAH</t>
  </si>
  <si>
    <t>GOND</t>
  </si>
  <si>
    <t>ST</t>
  </si>
  <si>
    <t>BACK ON M TYPE HOUSE</t>
  </si>
  <si>
    <t>SHASHCHINI171@GMAIL.COM</t>
  </si>
  <si>
    <t>03</t>
  </si>
  <si>
    <t>PAPPU KUMAR MEHTA</t>
  </si>
  <si>
    <t>MALA DEVI</t>
  </si>
  <si>
    <t>KOIRY</t>
  </si>
  <si>
    <t>MEHTAPAPPUKUMAR7400@GMAIL.COM</t>
  </si>
  <si>
    <t>18</t>
  </si>
  <si>
    <t>09</t>
  </si>
  <si>
    <t>CHANDAN KUMAR</t>
  </si>
  <si>
    <t>21</t>
  </si>
  <si>
    <t>DEEPAK YADAV</t>
  </si>
  <si>
    <t>KRISHNA YADAV</t>
  </si>
  <si>
    <t>MAMTA DEVI</t>
  </si>
  <si>
    <t>NEAR V-MART PATEL BHAWAN RENUKOOT</t>
  </si>
  <si>
    <t>DEEPAKWATOLA2009@GMAIL.COM</t>
  </si>
  <si>
    <t>31</t>
  </si>
  <si>
    <t>GIRDHAR GOPAL</t>
  </si>
  <si>
    <t>DINESH KUMAR</t>
  </si>
  <si>
    <t>PUSHPA DEVI</t>
  </si>
  <si>
    <t>RAUNIYAR</t>
  </si>
  <si>
    <t>SAGOBANDH BABHANI</t>
  </si>
  <si>
    <t>GIRIDHARGOPAL7054@GMAIL.COM</t>
  </si>
  <si>
    <t>27</t>
  </si>
  <si>
    <t>SHIVA PARK RENUKOOT</t>
  </si>
  <si>
    <t>6615-4139-5409</t>
  </si>
  <si>
    <t>20</t>
  </si>
  <si>
    <t>KRISHNA KUMAR</t>
  </si>
  <si>
    <t>DAYANAND</t>
  </si>
  <si>
    <t>JAYATRI DEVI</t>
  </si>
  <si>
    <t>KRISHNABABU2072009@GMAIL.COM</t>
  </si>
  <si>
    <t>22</t>
  </si>
  <si>
    <t>12</t>
  </si>
  <si>
    <t>2010</t>
  </si>
  <si>
    <t>KUNAL PRATAP SINGH</t>
  </si>
  <si>
    <t>RAVINDRA KUMAR SINGH</t>
  </si>
  <si>
    <t>UMA SINGH</t>
  </si>
  <si>
    <t xml:space="preserve">KSHATIRIYA </t>
  </si>
  <si>
    <t>KHADH PATHAR MURDHWAH</t>
  </si>
  <si>
    <t>RAVISINGH82777@GMAIL.COM</t>
  </si>
  <si>
    <t>3021-6033-0557</t>
  </si>
  <si>
    <t>16</t>
  </si>
  <si>
    <t>MO. HASIM</t>
  </si>
  <si>
    <t>AFTAB AHMAD</t>
  </si>
  <si>
    <t>SHAHAJAHAN PARVEEN</t>
  </si>
  <si>
    <t>VISHWAKARMA NAGAR</t>
  </si>
  <si>
    <t>KHANHASHIM93451@GMAIL.COM</t>
  </si>
  <si>
    <t>26</t>
  </si>
  <si>
    <t>PUSHPRAJ SHARMA</t>
  </si>
  <si>
    <t>SHIV SHANKAR SHARMA</t>
  </si>
  <si>
    <t>SUNITA SHARMA</t>
  </si>
  <si>
    <t xml:space="preserve">NAI </t>
  </si>
  <si>
    <t>T-1168 HINDALCO COLONY RENUKOOT</t>
  </si>
  <si>
    <t>SHARMAPUSPRAJ221@GMAIL.COM</t>
  </si>
  <si>
    <t>RAHUL KUMAR SINGH</t>
  </si>
  <si>
    <t>RAJESH KUMAR SINGH</t>
  </si>
  <si>
    <t>MAYA DEVI</t>
  </si>
  <si>
    <t>KAHAR</t>
  </si>
  <si>
    <t>GRASIM INDUSTRY LIMITED,RENUKOOT</t>
  </si>
  <si>
    <t>RAJESHKUMARSINGH141983@GMAIL.COM</t>
  </si>
  <si>
    <t>ROHIT YADAV</t>
  </si>
  <si>
    <t>MUNIB YADAV</t>
  </si>
  <si>
    <t>SINDHU DEVI</t>
  </si>
  <si>
    <t>WARD NO. -08 CHACHA COLONY RENUKOOT</t>
  </si>
  <si>
    <t>MR.RY.ROHIT.YADAV@GMAIL.COM</t>
  </si>
  <si>
    <t>6980-5025-8006</t>
  </si>
  <si>
    <t>28</t>
  </si>
  <si>
    <t>RUDRAKSH SINGH</t>
  </si>
  <si>
    <t>SHIV VIJAY SINGH</t>
  </si>
  <si>
    <t>USHA SINGH</t>
  </si>
  <si>
    <t>KSHATRIYA</t>
  </si>
  <si>
    <t>WARD -11 CHACHA COL</t>
  </si>
  <si>
    <t>SINGHSHIVVIJAY75@GMAIL.COM</t>
  </si>
  <si>
    <t>7429-2349-3729</t>
  </si>
  <si>
    <t>SATISH KUMAR CHAURASIYA</t>
  </si>
  <si>
    <t>SANTOSH KUMAR CHAURASIYA</t>
  </si>
  <si>
    <t>REETA CHAURASIYA</t>
  </si>
  <si>
    <t>BARAI</t>
  </si>
  <si>
    <t>SNTOSHCHAURASIYA8@GMAIL.COM</t>
  </si>
  <si>
    <t>8837-6094-3979</t>
  </si>
  <si>
    <t>SATYANAND YADAV</t>
  </si>
  <si>
    <t>JAGDISH YADAV</t>
  </si>
  <si>
    <t>SANJU DEVI</t>
  </si>
  <si>
    <t>NEAR V-MART</t>
  </si>
  <si>
    <t>SATYANANDYADAV2010@GMAIL.COM</t>
  </si>
  <si>
    <t>SHASHIKANT TRIPATHI</t>
  </si>
  <si>
    <t>KAMLESH KUMAR TRIPATHI</t>
  </si>
  <si>
    <t>RINKI DEVI</t>
  </si>
  <si>
    <t>BRAHMIN</t>
  </si>
  <si>
    <t>I522 HINDALCO COLONY RENUKOOT</t>
  </si>
  <si>
    <t>KAMLESHKUMARTRIPATHI31@GMAIL.COM</t>
  </si>
  <si>
    <t>SHIV SAGAR YADAV</t>
  </si>
  <si>
    <t>SANT RAJ YADAV</t>
  </si>
  <si>
    <t>LALITA DEVI</t>
  </si>
  <si>
    <t>WARD NO.-01 RAILWAY COLONY, TURRA RENUKOOT</t>
  </si>
  <si>
    <t>SY1721626@GMAIL.COM</t>
  </si>
  <si>
    <t>SHIVAM</t>
  </si>
  <si>
    <t>UDAY RAM</t>
  </si>
  <si>
    <t>SANGITA DEVI</t>
  </si>
  <si>
    <t>WARD NO. -09 JHARNA BASTI RENUKOOT</t>
  </si>
  <si>
    <t>SANGITASANGITA77546@GMAIL.COM</t>
  </si>
  <si>
    <t>SHIVAM CHAURASIA</t>
  </si>
  <si>
    <t>SUBHASH CHAURASIA</t>
  </si>
  <si>
    <t>SUNITA CHAURASIYA</t>
  </si>
  <si>
    <t>HH-254 HINDALCO COLONY RENUKOOT</t>
  </si>
  <si>
    <t>SHUBHASHCHARKT@GMAIL.COM</t>
  </si>
  <si>
    <t>3193-1376-6740</t>
  </si>
  <si>
    <t>14</t>
  </si>
  <si>
    <t>SHIVAM MISHRA</t>
  </si>
  <si>
    <t>GYAN PRAKASH MISHRA</t>
  </si>
  <si>
    <t>MANJU DEVI</t>
  </si>
  <si>
    <t>CHACHA COLONY RENUKOOT</t>
  </si>
  <si>
    <t>SKM498174@GMAIL.COM</t>
  </si>
  <si>
    <t>SURAJ YADAV</t>
  </si>
  <si>
    <t>RAMKER YADAV</t>
  </si>
  <si>
    <t>KAUSHALYA DEVI</t>
  </si>
  <si>
    <t>UMESHYADAV5277@GMAIL.COM</t>
  </si>
  <si>
    <t>13</t>
  </si>
  <si>
    <t>VANSH MITTAL</t>
  </si>
  <si>
    <t>RAJU MITTAL</t>
  </si>
  <si>
    <t>NEELAM MITTAL</t>
  </si>
  <si>
    <t>BANIYA</t>
  </si>
  <si>
    <t>IN FRONT OF PNB SHIVAPARK</t>
  </si>
  <si>
    <t>RAJUAGRAWAL37850@GMAIL.COM</t>
  </si>
  <si>
    <t>VISHAL SINGH</t>
  </si>
  <si>
    <t>JAY PRAKASH SINGH</t>
  </si>
  <si>
    <t>BHAGMANI DEVI</t>
  </si>
  <si>
    <t xml:space="preserve">KURMI </t>
  </si>
  <si>
    <t>ABCIL HOSTEL RENUKOOT</t>
  </si>
  <si>
    <t>POOJA277504@GMAIL.COM</t>
  </si>
  <si>
    <t>7167-3905-0861</t>
  </si>
  <si>
    <t>VIVEK KUMAR SINGH</t>
  </si>
  <si>
    <t>VINOD KUMAR</t>
  </si>
  <si>
    <t>CHANDA DEVI</t>
  </si>
  <si>
    <t>KOIRI</t>
  </si>
  <si>
    <t>WARD NUMBER 03 RENUKOOT</t>
  </si>
  <si>
    <t>vkmaurya1985up@gmail.com</t>
  </si>
  <si>
    <t>4243-3106-7988</t>
  </si>
  <si>
    <t>SANJAY KUMAR</t>
  </si>
  <si>
    <t>LALTI DEVI</t>
  </si>
  <si>
    <t>RONIAR</t>
  </si>
  <si>
    <t>BAINA SAGOBANDH</t>
  </si>
  <si>
    <t>vishnu752398@gmail.com</t>
  </si>
  <si>
    <t>6126-4507-0552</t>
  </si>
  <si>
    <t>ANSHUL KUMAR</t>
  </si>
  <si>
    <t>NANDLAL</t>
  </si>
  <si>
    <t>NINTA DEVI</t>
  </si>
  <si>
    <t>KUMHAR</t>
  </si>
  <si>
    <t>KACHAN KIRBILA MAIYURPUR SONBHADRA</t>
  </si>
  <si>
    <t>anshulkum565@gmail.com</t>
  </si>
  <si>
    <t>4826-2982-3472</t>
  </si>
  <si>
    <t>ABHISHEK KUMAR</t>
  </si>
  <si>
    <t>GEETA DEVI</t>
  </si>
  <si>
    <t>abhishekkumar8989@gmail.com</t>
  </si>
  <si>
    <t>4403-7464-2243</t>
  </si>
  <si>
    <t>ABHISHEK GUPTA</t>
  </si>
  <si>
    <t>AYODHYA PRASAD</t>
  </si>
  <si>
    <t>SAPANA GUPTA</t>
  </si>
  <si>
    <t>abhishekgupta24371626@gmail.com</t>
  </si>
  <si>
    <t>5483-1530-4549</t>
  </si>
  <si>
    <t>ASHUTOSH YADAV</t>
  </si>
  <si>
    <t>YOGENDRA YADVA</t>
  </si>
  <si>
    <t>I-1731 HINDALCO COLONY RENUKOOT SONEBHADRA</t>
  </si>
  <si>
    <t>YADAVKIRAN0435@GMAIL.COM</t>
  </si>
  <si>
    <t>4816-6395-9975</t>
  </si>
  <si>
    <t>ROHIT</t>
  </si>
  <si>
    <t>HARE RAM BIND</t>
  </si>
  <si>
    <t>CHINTA DEVI</t>
  </si>
  <si>
    <t>BIND</t>
  </si>
  <si>
    <t>NEAR CHARCH HI-TECH MURDHAWA</t>
  </si>
  <si>
    <t>ROHITKUMARRKT7347@GMAIL.COM</t>
  </si>
  <si>
    <t>1252269491</t>
  </si>
  <si>
    <t>DEV KUMAR</t>
  </si>
  <si>
    <t>KAUSHILYA</t>
  </si>
  <si>
    <t>T-231 HINDALCO COLONY RENUKOOT</t>
  </si>
  <si>
    <t>MY2766926@GMAIL.COM</t>
  </si>
  <si>
    <t>ANANDI KUMARI SINGH</t>
  </si>
  <si>
    <t>SHRIRAM SINGH</t>
  </si>
  <si>
    <t>F</t>
  </si>
  <si>
    <t>JHOPADI NEAR BUS STAND</t>
  </si>
  <si>
    <t>VANDANASINGH8081961214@GMAIL.COM</t>
  </si>
  <si>
    <t>37070</t>
  </si>
  <si>
    <t>ANSHU SINGH</t>
  </si>
  <si>
    <t>JITENDRA SINGH</t>
  </si>
  <si>
    <t>MANSHA SINGH</t>
  </si>
  <si>
    <t>N-2334 HINDALCO COLONY RENUKOOT</t>
  </si>
  <si>
    <t>JITENDRASINGH76108@GMAIL.COM</t>
  </si>
  <si>
    <t>2037-9783-4010</t>
  </si>
  <si>
    <t>ANUSHKA YADAV</t>
  </si>
  <si>
    <t>JAMAWANT SINGH YADAV</t>
  </si>
  <si>
    <t>VINDA YADAV</t>
  </si>
  <si>
    <t>P-1177 HINDALCO COLONY RENUKOOT</t>
  </si>
  <si>
    <t>JAMVANTSINGHYADAV7889@GMAIL.COM</t>
  </si>
  <si>
    <t>ASTHA SINGH</t>
  </si>
  <si>
    <t>SANT KUMAR SINGH</t>
  </si>
  <si>
    <t>RANJANA SINGH</t>
  </si>
  <si>
    <t>LIONS CLUB SHIVA PARK RENUKOOT</t>
  </si>
  <si>
    <t>A23303084@GMAIL.COM</t>
  </si>
  <si>
    <t>ISHIKA KUMARI</t>
  </si>
  <si>
    <t>SUSHIL KUMAR SHAH</t>
  </si>
  <si>
    <t>RANJITA DEVI</t>
  </si>
  <si>
    <t>ISHIKAKUMARI2108@GMAIL.COM</t>
  </si>
  <si>
    <t>JIVAN JYOTI KUMARI</t>
  </si>
  <si>
    <t>VIRENDRA PRASAD YADAV</t>
  </si>
  <si>
    <t>SUNITA DEVI</t>
  </si>
  <si>
    <t>M-TYPE HINDALCO COLONY RENUKOOT</t>
  </si>
  <si>
    <t>JIVANJYOTIK0@GMAIL.COM</t>
  </si>
  <si>
    <t>25</t>
  </si>
  <si>
    <t>KHUSHI</t>
  </si>
  <si>
    <t>ALIMUDDIN ANSARI</t>
  </si>
  <si>
    <t>BEBI BEGUM</t>
  </si>
  <si>
    <t>MUSLIM</t>
  </si>
  <si>
    <t>BADASHKHAN.RKT@GMAIL.COM</t>
  </si>
  <si>
    <t>29</t>
  </si>
  <si>
    <t>KHUSHI SINGH</t>
  </si>
  <si>
    <t>DURGA PRASAD SINGH</t>
  </si>
  <si>
    <t>REENA SINGH</t>
  </si>
  <si>
    <t>K-II-25 HINDALCO COLONY RENUKOOT</t>
  </si>
  <si>
    <t>KHUSHISINGH37110@GMAIL.COM</t>
  </si>
  <si>
    <t>RAM AUTAR</t>
  </si>
  <si>
    <t>URMILA DEVI</t>
  </si>
  <si>
    <t>KALAR</t>
  </si>
  <si>
    <t>NEAR V MART PRIMARY SCHOOL RENUKOOT</t>
  </si>
  <si>
    <t>AKRITISHISHTOLA2009@GMAIL.COM</t>
  </si>
  <si>
    <t>PRADIP PRAJAPATI</t>
  </si>
  <si>
    <t xml:space="preserve">KUMHAR </t>
  </si>
  <si>
    <t>WARD NO-4 SHIVAPARK KT</t>
  </si>
  <si>
    <t>PARDIPAPARJAPATI@GMAIL.COM</t>
  </si>
  <si>
    <t>SHAILENDRA KUMAR CHAUDHARY</t>
  </si>
  <si>
    <t>RINKI CHAUDHARY</t>
  </si>
  <si>
    <t>MALLAH</t>
  </si>
  <si>
    <t>H/3-1195 HINDALCO COLONY RENUKOOT</t>
  </si>
  <si>
    <t>KMIMANSHA6@GMAIL.COM</t>
  </si>
  <si>
    <t>KUMKUM</t>
  </si>
  <si>
    <t>VIJAY RAY</t>
  </si>
  <si>
    <t>GUDIYA DEVI</t>
  </si>
  <si>
    <t>RAJBHAR</t>
  </si>
  <si>
    <t>L-43 HINDALCO COLONY RENUKOOT</t>
  </si>
  <si>
    <t>VIJAYRAY6070@GMAIL.COM</t>
  </si>
  <si>
    <t>15</t>
  </si>
  <si>
    <t>MARIYAM NOOR</t>
  </si>
  <si>
    <t>SHAUKAT ALI</t>
  </si>
  <si>
    <t>PARVIN BANO</t>
  </si>
  <si>
    <t>RAINE</t>
  </si>
  <si>
    <t>SABJI MANDI RENUKOOT</t>
  </si>
  <si>
    <t>MARIYAMNOOR2009@GMAIL.COM</t>
  </si>
  <si>
    <t>NISHA MISHRA</t>
  </si>
  <si>
    <t>MANOJ KUMAR MISHRA</t>
  </si>
  <si>
    <t>SAVITA DEVI</t>
  </si>
  <si>
    <t>HUT VISHWAKARMA NAGAR RENUKOOT</t>
  </si>
  <si>
    <t>SAVITAMISHRARKT@GMAIL.COM</t>
  </si>
  <si>
    <t>PRIYA KUMARI</t>
  </si>
  <si>
    <t>VINOD KUMAR GUPTA</t>
  </si>
  <si>
    <t>SEEMA DEVI</t>
  </si>
  <si>
    <t>TELI</t>
  </si>
  <si>
    <t>KARAUNDI KONE SONEBAHDRA</t>
  </si>
  <si>
    <t>PRIYAAK32918@GMAIL.COM</t>
  </si>
  <si>
    <t>5471-3010-3175</t>
  </si>
  <si>
    <t>PURVI KUMARI</t>
  </si>
  <si>
    <t>RUBI DEVI</t>
  </si>
  <si>
    <t>C-226 PIPRI TURRA</t>
  </si>
  <si>
    <t>PURVEEKUMARI422@GMAIL.COM</t>
  </si>
  <si>
    <t>SANJANA KUMARI RAI</t>
  </si>
  <si>
    <t>DINESH KUMAR RAI</t>
  </si>
  <si>
    <t>CHANDRAKALA DEVI</t>
  </si>
  <si>
    <t>BHUMIHAR</t>
  </si>
  <si>
    <t>HH-42 HINDALCO COLONY RENUKOOT</t>
  </si>
  <si>
    <t>SRAA90322@GMAIL.COM</t>
  </si>
  <si>
    <t>SHEESHAM KUMARI</t>
  </si>
  <si>
    <t>SUSHIL PRASAD YADAV</t>
  </si>
  <si>
    <t>M TYPE HINDALCO COLONY RENUKOOT</t>
  </si>
  <si>
    <t>TGEMAR368@GMAIL.COM</t>
  </si>
  <si>
    <t>SHWETA YADAV</t>
  </si>
  <si>
    <t>TAHSILDAR SINGH YADAV</t>
  </si>
  <si>
    <t>N-2612 HINDALCO COLONY RENUKOOT</t>
  </si>
  <si>
    <t>SHWETA37113@GMAIL.COM</t>
  </si>
  <si>
    <t>SNEHLATA BHARATI</t>
  </si>
  <si>
    <t>HARIKESH KUMAR</t>
  </si>
  <si>
    <t>SHYAMWATI DEVI</t>
  </si>
  <si>
    <t>NEAR GURUDWARA TEMPLE RENUKOOT</t>
  </si>
  <si>
    <t>LATARKT231217@GMAIL.COM</t>
  </si>
  <si>
    <t>SUMAIYAH</t>
  </si>
  <si>
    <t>HABIBULLAH</t>
  </si>
  <si>
    <t>SAMINA KHATOON</t>
  </si>
  <si>
    <t>ABDULLAHHABIB231217@GMAIL.COM</t>
  </si>
  <si>
    <t>SHRUTI PANDEY</t>
  </si>
  <si>
    <t>SANJAY KUMAR PANDEY</t>
  </si>
  <si>
    <t>SEEMA PANDEY</t>
  </si>
  <si>
    <t>HH-127 HINDALCO COLONY RENUKOOT</t>
  </si>
  <si>
    <t>SPANDEY49567@GMAIL.COM</t>
  </si>
  <si>
    <t>TAJMIN BANO</t>
  </si>
  <si>
    <t>MOHD. VAKIL</t>
  </si>
  <si>
    <t>SAHIN BEGUM</t>
  </si>
  <si>
    <t>HINDALCO HOSPITAL MORE RENUKOOT</t>
  </si>
  <si>
    <t>AHMADV3561@GMAIL.COM</t>
  </si>
  <si>
    <t>SWATI YADAV</t>
  </si>
  <si>
    <t>BADDOO RAM YADAV</t>
  </si>
  <si>
    <t>NIRMALA DEVI</t>
  </si>
  <si>
    <t>NIRMALA0101@GMAIL.COM</t>
  </si>
  <si>
    <t>UMRA</t>
  </si>
  <si>
    <t>MOHD SHAHZAD AHMAD</t>
  </si>
  <si>
    <t>SHABANA BEGUM</t>
  </si>
  <si>
    <t>NEAR RENU MEDICAL RENUKOOT</t>
  </si>
  <si>
    <t>KAYNAT26116@GMAIL.COM</t>
  </si>
  <si>
    <t>38995</t>
  </si>
  <si>
    <t>ANANYA YADAV</t>
  </si>
  <si>
    <t>DEVNARAYAN YADAV</t>
  </si>
  <si>
    <t>VIMLA DEVI</t>
  </si>
  <si>
    <t>DAYADAV4303@GMAIL.COM</t>
  </si>
  <si>
    <t>PRITI KUMARI</t>
  </si>
  <si>
    <t>SUSHIL YADAV</t>
  </si>
  <si>
    <t>ANITA DEVI</t>
  </si>
  <si>
    <t>M-TYPE KHATAL RENUKOOT</t>
  </si>
  <si>
    <t>S826088@GMAIL.COM</t>
  </si>
  <si>
    <t>class</t>
  </si>
  <si>
    <t>ROLL NO.</t>
  </si>
  <si>
    <t>VISHNU KANT</t>
  </si>
  <si>
    <t>AKRITI</t>
  </si>
  <si>
    <t>CHANCHAL</t>
  </si>
  <si>
    <t>MIMANSHA</t>
  </si>
  <si>
    <t>OCCUPATION
Other-OTH /
 Hindalco -HE / Hindalco Supply- HS</t>
  </si>
  <si>
    <t>E.CODE</t>
  </si>
  <si>
    <t>DEPT.</t>
  </si>
  <si>
    <t>OTH</t>
  </si>
  <si>
    <t>HE</t>
  </si>
  <si>
    <t>026724</t>
  </si>
  <si>
    <t>E xt PRESS</t>
  </si>
  <si>
    <t xml:space="preserve"> </t>
  </si>
  <si>
    <t>SUPPLY</t>
  </si>
  <si>
    <t>025781</t>
  </si>
  <si>
    <t>POT ROOM</t>
  </si>
  <si>
    <t>032481</t>
  </si>
  <si>
    <t>ALU DIGN OPTR</t>
  </si>
  <si>
    <t>022403</t>
  </si>
  <si>
    <t>026052</t>
  </si>
  <si>
    <t>026633</t>
  </si>
  <si>
    <t>POTROOM</t>
  </si>
  <si>
    <t>027269</t>
  </si>
  <si>
    <t>028486</t>
  </si>
  <si>
    <t xml:space="preserve">POT ROOM </t>
  </si>
  <si>
    <t>024022</t>
  </si>
  <si>
    <t>ALU INS</t>
  </si>
  <si>
    <t>024448</t>
  </si>
  <si>
    <t>R/MILL OPTR</t>
  </si>
  <si>
    <t>029734</t>
  </si>
  <si>
    <t>026696</t>
  </si>
  <si>
    <t>031028</t>
  </si>
  <si>
    <t>PER OUT OF 23 WORKING DAY</t>
  </si>
  <si>
    <t>MAY</t>
  </si>
  <si>
    <t>TOAL FROM APR</t>
  </si>
  <si>
    <t>PER OUT OF 39 WORKING DAY</t>
  </si>
  <si>
    <t>PER OUT OF 65 WORKING DAY</t>
  </si>
  <si>
    <t>AUG</t>
  </si>
  <si>
    <t>PER OUT OF 87 WORKING DAY</t>
  </si>
  <si>
    <t>APRIL</t>
  </si>
  <si>
    <t>JULY</t>
  </si>
  <si>
    <t>HINDI OUTOF 20</t>
  </si>
  <si>
    <t>ENG OUTOF 20</t>
  </si>
  <si>
    <t>MATHS OUTOF 20</t>
  </si>
  <si>
    <t>PHY OUTOF 20</t>
  </si>
  <si>
    <t>CHE OUTOF 20</t>
  </si>
  <si>
    <t>TOTAL OUT OF 100</t>
  </si>
  <si>
    <t>Short-Term Goal (2026-27)</t>
  </si>
  <si>
    <t>Long-Term Goal (Higher Ed &amp; Career)</t>
  </si>
  <si>
    <t>[1. Tata Essay] Description</t>
  </si>
  <si>
    <t>[1. Tata Essay] Reflection</t>
  </si>
  <si>
    <t>[2. Rangoli] Description</t>
  </si>
  <si>
    <t>[2. Rangoli] Reflection</t>
  </si>
  <si>
    <t>[3. Mehndi] Description</t>
  </si>
  <si>
    <t>[3. Mehndi] Reflection</t>
  </si>
  <si>
    <t>[4. Rakhi Making] Description</t>
  </si>
  <si>
    <t>[4. Rakhi Making] Reflection</t>
  </si>
  <si>
    <t>[5. Drawing/Painting] Description</t>
  </si>
  <si>
    <t>[5. Drawing/Painting] Reflection</t>
  </si>
  <si>
    <t>[6. Essay Writing] Description</t>
  </si>
  <si>
    <t>[6. Essay Writing] Reflection</t>
  </si>
  <si>
    <t>[7. Bal Sansad] Description</t>
  </si>
  <si>
    <t>[7. Bal Sansad] Reflection</t>
  </si>
  <si>
    <t>[8. Class Decor &amp; Chart] Description</t>
  </si>
  <si>
    <t>[8. Class Decor &amp; Chart] Reflection</t>
  </si>
  <si>
    <t>[9. Speech / Elocution] Description</t>
  </si>
  <si>
    <t>[9. Speech / Elocution] Reflection</t>
  </si>
  <si>
    <t>[10. Story Telling] Description</t>
  </si>
  <si>
    <t>[10. Story Telling] Reflection</t>
  </si>
  <si>
    <t>[11. IEP Poster] Description</t>
  </si>
  <si>
    <t>[11. IEP Poster] Reflection</t>
  </si>
  <si>
    <t>[12. Group Orchestra] Description</t>
  </si>
  <si>
    <t>[12. Group Orchestra] Reflection</t>
  </si>
  <si>
    <t>[13. Article Writing] Description</t>
  </si>
  <si>
    <t>[13. Article Writing] Reflection</t>
  </si>
  <si>
    <t>[14. Creative Story] Description</t>
  </si>
  <si>
    <t>[14. Creative Story] Reflection</t>
  </si>
  <si>
    <t>Score 85%+ in Class 12 Board Exams</t>
  </si>
  <si>
    <t>B.Tech in Computer Science &amp; Data Analytics</t>
  </si>
  <si>
    <t>Wrote an analytical essay on India's technological self-reliance.</t>
  </si>
  <si>
    <t>Learned structured synthesis and national awareness.</t>
  </si>
  <si>
    <t>Designed geometric folk patterns using organic colors.</t>
  </si>
  <si>
    <t>Learned color harmony and symmetry.</t>
  </si>
  <si>
    <t>Practiced intricate traditional bridal design motifs.</t>
  </si>
  <si>
    <t>Learned patience and precision.</t>
  </si>
  <si>
    <t>Crafted an eco-friendly Rakhi from biodegradable silk threads.</t>
  </si>
  <si>
    <t>Developed fine motor craftsmanship.</t>
  </si>
  <si>
    <t>Painted a scenic landscape depicting renewable energy solutions.</t>
  </si>
  <si>
    <t>Enhanced creative visual representation.</t>
  </si>
  <si>
    <t>Wrote an essay on environmental conservation.</t>
  </si>
  <si>
    <t>Gained proficiency in persuasive writing.</t>
  </si>
  <si>
    <t>Served as active discipline coordinator.</t>
  </si>
  <si>
    <t>Learned collaborative governance and public engagement.</t>
  </si>
  <si>
    <t>Prepared a periodic table educational wall display.</t>
  </si>
  <si>
    <t>Mastered collaborative design and subject clarity.</t>
  </si>
  <si>
    <t>Spoke on Youth and Digital Transformation.</t>
  </si>
  <si>
    <t>Overcame stage hesitation and improved voice modulation.</t>
  </si>
  <si>
    <t>Narrated a moral story on ethical decision making.</t>
  </si>
  <si>
    <t>Developed tone pacing and narrative control.</t>
  </si>
  <si>
    <t>Created an illustrative poster advocating inclusive education.</t>
  </si>
  <si>
    <t>Understood visual advocacy.</t>
  </si>
  <si>
    <t>Played acoustic rhythm percussion in ensemble.</t>
  </si>
  <si>
    <t>Learned acoustic balance and group discipline.</t>
  </si>
  <si>
    <t>Authored a researched article on artificial intelligence in schooling.</t>
  </si>
  <si>
    <t>Improved fact citation skills.</t>
  </si>
  <si>
    <t>Authored a speculative fiction story about futuristic clean cities.</t>
  </si>
  <si>
    <t>Broadened creative thinking.</t>
  </si>
  <si>
    <t>Crack CUET &amp; Pursue Central University Degree</t>
  </si>
  <si>
    <t>I participated in the Tata Building India School Essay Competition and wrote an essay on national building.</t>
  </si>
  <si>
    <t>I expressed my ideas on how young citizens can contribute to India's progress. Improved writing, creativity, and civic awareness.</t>
  </si>
  <si>
    <t>I participated in the Rangoli Competition and created a colorful rangoli using creative patterns.</t>
  </si>
  <si>
    <t>Learned the importance of creativity, patience, and proper time management.</t>
  </si>
  <si>
    <t>I participated in the Mehndi Competition and created traditional and creative motifs.</t>
  </si>
  <si>
    <t>Learned that creativity, patience, and concentration are vital in detailed design.</t>
  </si>
  <si>
    <t>Made a beautiful handmade Rakhi using colorful threads, beads, and creative materials.</t>
  </si>
  <si>
    <t>Learned the importance of creativity, patience, and careful material usage.</t>
  </si>
  <si>
    <t>Made a colorful painting of nature showing trees and flowers.</t>
  </si>
  <si>
    <t>Learned how to express thoughts and emotional perspectives through visual art.</t>
  </si>
  <si>
    <t>Participated in the Essay Writing Competition and wrote an essay on nature.</t>
  </si>
  <si>
    <t>Learned how to express thoughts clearly and improve structured writing skills.</t>
  </si>
  <si>
    <t>Participated in Bal Sansad (Student Council) activities and parliamentary discussions.</t>
  </si>
  <si>
    <t>Learned leadership, teamwork, effective communication, and civic responsibility.</t>
  </si>
  <si>
    <t>Helped decorate the classroom and prepared a colorful educational wall chart.</t>
  </si>
  <si>
    <t>Learned teamwork, aesthetic curation, and visual presentation skills.</t>
  </si>
  <si>
    <t>Delivered a speech on inspiring historical figures during the speech competition.</t>
  </si>
  <si>
    <t>Learned how to speak confidently in front of others and organize thoughts.</t>
  </si>
  <si>
    <t>Wrote and presented an interesting story with a meaningful moral message.</t>
  </si>
  <si>
    <t>Learned how to structure narrative arcs and present stories confidently.</t>
  </si>
  <si>
    <t>Created a creative poster on an important social and educational theme.</t>
  </si>
  <si>
    <t>Learned to communicate impactful messages through visual balance and short text.</t>
  </si>
  <si>
    <t>Participated in the group orchestra and performed musical pieces with the team.</t>
  </si>
  <si>
    <t>Learned teamwork, dynamic instrumental coordination, discipline, and confidence.</t>
  </si>
  <si>
    <t>Wrote an article on ecology, preservation, and natural balance.</t>
  </si>
  <si>
    <t>Learned how to synthesize environmental research into engaging prose.</t>
  </si>
  <si>
    <t>Wrote an original and engaging story in the creative writing competition.</t>
  </si>
  <si>
    <t>Learned how to develop creative ideas, character arcs, and suspenseful plots.</t>
  </si>
  <si>
    <t>Deliver outstanding practical and theory performance</t>
  </si>
  <si>
    <t>Bachelor of Engineering (B.E. / B.Tech)</t>
  </si>
  <si>
    <t>Authored an analytical essay on youth responsibilities in modern India.</t>
  </si>
  <si>
    <t>Gained structured research and critical thinking skills.</t>
  </si>
  <si>
    <t>Co-created a floral rangoli arrangement with peers.</t>
  </si>
  <si>
    <t>Learned design planning, spatial geometry, and team coordination.</t>
  </si>
  <si>
    <t>Practiced symmetric henna line patterns.</t>
  </si>
  <si>
    <t>Improved manual dexterity and line precision.</t>
  </si>
  <si>
    <t>Engineered a botanical, nature-inspired handcrafted Rakhi.</t>
  </si>
  <si>
    <t>Enhanced patience, fine motor control, and innovative craft skills.</t>
  </si>
  <si>
    <t>Constructed a three-dimensional working science model.</t>
  </si>
  <si>
    <t>Learned hands-on experimental methods and material applications.</t>
  </si>
  <si>
    <t>Composed a descriptive essay on fostering scientific temper.</t>
  </si>
  <si>
    <t>Improved technical clarity and formal written articulation.</t>
  </si>
  <si>
    <t>Actively served as committee coordinator in Bal Sansad.</t>
  </si>
  <si>
    <t>Learned parliamentary protocols, democratic debate, and student representation.</t>
  </si>
  <si>
    <t>Designed an educational chart explaining fundamental science concepts.</t>
  </si>
  <si>
    <t>Enhanced visual layout design and instructional presentation.</t>
  </si>
  <si>
    <t>Delivered an elocution on Sustainable Energy for Future Generations.</t>
  </si>
  <si>
    <t>Overcame stage hesitation and cultivated clear vocal delivery.</t>
  </si>
  <si>
    <t>Authored and narrated an original folklore story.</t>
  </si>
  <si>
    <t>Learned dramatic inflection, pacing, and audience engagement.</t>
  </si>
  <si>
    <t>Designed an environmental awareness poster with social slogans.</t>
  </si>
  <si>
    <t>Grasped typography, visual focal points, and impactful messaging.</t>
  </si>
  <si>
    <t>Supported the musical ensemble during the school annual day.</t>
  </si>
  <si>
    <t>Learned team unity, acoustic synchrony, and discipline.</t>
  </si>
  <si>
    <t>Wrote an editorial on digital literacy in rural communities.</t>
  </si>
  <si>
    <t>Strengthened evidence-based and persuasive writing skills.</t>
  </si>
  <si>
    <t>Created an original short story emphasizing moral perseverance.</t>
  </si>
  <si>
    <t>Broadened creative fiction writing and thematic plotting.</t>
  </si>
  <si>
    <t>To score 85%+ in UP Board Class 12 exam</t>
  </si>
  <si>
    <t>Qualify JEE Main exam and secure admission in dream college IIIT Jabalpur</t>
  </si>
  <si>
    <t>Wrote an analytical essay on national development themes assigned in school.</t>
  </si>
  <si>
    <t>Learned civic duty and how youth contributions help India become a developed nation.</t>
  </si>
  <si>
    <t>Crafted a symmetrical floral rangoli using dry organic colors.</t>
  </si>
  <si>
    <t>Gained practical experience in spatial geometry and color contrast.</t>
  </si>
  <si>
    <t>Assisted in pattern drafting for festive mehndi motifs.</t>
  </si>
  <si>
    <t>Cultivated precision hand control and patience.</t>
  </si>
  <si>
    <t>Constructed an innovative craft Rakhi from recycled cardboard and satin ribbon.</t>
  </si>
  <si>
    <t>Learned sustainable DIY crafting and resource optimization.</t>
  </si>
  <si>
    <t>Created an artistic and technical chemistry laboratory safety diagram.</t>
  </si>
  <si>
    <t>Enhanced diagrammatic representation and blended science with visual arts.</t>
  </si>
  <si>
    <t>Authored an analytical essay on scientific inventions and modernization.</t>
  </si>
  <si>
    <t>Improved essay cohesion, vocabulary, and structured flow.</t>
  </si>
  <si>
    <t>Participated in Student Council discussions regarding academic facilities.</t>
  </si>
  <si>
    <t>Learned active listening, student advocacy, and collaborative decision-making.</t>
  </si>
  <si>
    <t>Designed a Class Chemistry Chart detailing molecular reactions and mechanisms.</t>
  </si>
  <si>
    <t>Strengthened subject recall and visual presentation skills.</t>
  </si>
  <si>
    <t>Delivered a persuasive speech on professional ethics in engineering.</t>
  </si>
  <si>
    <t>Built public speaking confidence, voice projection, and poise.</t>
  </si>
  <si>
    <t>Delivered a motivational narrative highlighting pioneering Indian scientists.</t>
  </si>
  <si>
    <t>Enhanced oral presentation skills and listener engagement.</t>
  </si>
  <si>
    <t>Created a technical poster advocating renewable clean energy adoption.</t>
  </si>
  <si>
    <t>Learned informative graphic design and concise slogan crafting.</t>
  </si>
  <si>
    <t>Participated in the school orchestral rhythm section.</t>
  </si>
  <si>
    <t>Learned dynamic timing, group synchrony, and performance discipline.</t>
  </si>
  <si>
    <t>Wrote an article evaluating space exploration milestones in modern India.</t>
  </si>
  <si>
    <t>Refined analytical documentation and expository journalism.</t>
  </si>
  <si>
    <t>Penned a creative short story depicting an aspiring young inventor's journey.</t>
  </si>
  <si>
    <t>Strengthened problem-solving imagination and narrative structuring.</t>
  </si>
  <si>
    <t>Achieve First Division with distinction in Class 12 Boards</t>
  </si>
  <si>
    <t>B.Tech in Mechanical / Civil Engineering</t>
  </si>
  <si>
    <t>Wrote an essay on modern infrastructure driving national growth.</t>
  </si>
  <si>
    <t>Learned systemic thinking, socio-economic analysis, and formal composition.</t>
  </si>
  <si>
    <t>Formulated geometric grid patterns for classroom rangoli.</t>
  </si>
  <si>
    <t>Enhanced aesthetic balance, patience, and team execution.</t>
  </si>
  <si>
    <t>Practiced free-hand design elements in traditional henna.</t>
  </si>
  <si>
    <t>Gained manual dexterity, fine control, and pattern symmetry.</t>
  </si>
  <si>
    <t>Crafted a handmade Rakhi using resham threads and decorative beads.</t>
  </si>
  <si>
    <t>Learned delicate artistic assembly and traditional craftsmanship.</t>
  </si>
  <si>
    <t>Drafted a fine pencil sketch on Indian architectural heritage.</t>
  </si>
  <si>
    <t>Improved perspective drawing, structural proportions, and shading techniques.</t>
  </si>
  <si>
    <t>Composed an essay on sustainable urban development and green energy.</t>
  </si>
  <si>
    <t>Developed critical analytical skills and persuasive logic.</t>
  </si>
  <si>
    <t>Managed environmental responsibilities in Bal Sansad.</t>
  </si>
  <si>
    <t>Learned shared accountability, task delegation, and civic action planning.</t>
  </si>
  <si>
    <t>Prepared an educational mechanics display chart for the physics lab.</t>
  </si>
  <si>
    <t>Improved technical diagrammatic representation and clarity.</t>
  </si>
  <si>
    <t>Presented an elocution on renewable energy potential in India.</t>
  </si>
  <si>
    <t>Refined elocution skills, pronunciation, and platform confidence.</t>
  </si>
  <si>
    <t>Narrated an inspiring story on overcoming adversity through hard work.</t>
  </si>
  <si>
    <t>Mastered expressive oral storytelling and emotional resonance.</t>
  </si>
  <si>
    <t>Designed a visual poster highlighting road safety protocols and awareness.</t>
  </si>
  <si>
    <t>Learned public safety visual communication and slogan framing.</t>
  </si>
  <si>
    <t>Supported the musical ensemble performance with rhythm instruments.</t>
  </si>
  <si>
    <t>Cultivated team harmony, focused listening, and synchrony.</t>
  </si>
  <si>
    <t>Published an article on modern advancements in railway transportation.</t>
  </si>
  <si>
    <t>Refined editorial composition and non-fiction structure.</t>
  </si>
  <si>
    <t>Authored a fictional narrative about smart, eco-friendly futuristic cities.</t>
  </si>
  <si>
    <t>Sparked creative solution-building and narrative writing abilities.</t>
  </si>
  <si>
    <t>Score 80%+ and solidify core concepts across all subjects</t>
  </si>
  <si>
    <t>Pursue Engineering and Advanced Technical Studies</t>
  </si>
  <si>
    <t>Composed an insightful essay on industrialization and social growth in India.</t>
  </si>
  <si>
    <t>Learned structured argumentative logic and thesis organization.</t>
  </si>
  <si>
    <t>Coordinated colored powder rangoli art during campus cultural events.</t>
  </si>
  <si>
    <t>Learned collaborative design execution, symmetry, and patience.</t>
  </si>
  <si>
    <t>Designed cultural floral patterns and border elements.</t>
  </si>
  <si>
    <t>Cultivated fine detail management and manual steadiness.</t>
  </si>
  <si>
    <t>Created a handmade Rakhi utilizing paper quilling techniques and beads.</t>
  </si>
  <si>
    <t>Strengthened creative handcrafting and material patience.</t>
  </si>
  <si>
    <t>Drew an environmental conservation watercolor landscape.</t>
  </si>
  <si>
    <t>Improved color blending, lighting balance, and visual messaging.</t>
  </si>
  <si>
    <t>Drafted an essay on the pivotal role of vocational education in youth empowerment.</t>
  </si>
  <si>
    <t>Honed persuasive writing clarity and structural cohesion.</t>
  </si>
  <si>
    <t>Contributed to student forum discussions on campus discipline and peer mentoring.</t>
  </si>
  <si>
    <t>Developed balanced interpersonal communication and active listening.</t>
  </si>
  <si>
    <t>Designed a classroom infographic on core mathematical formulas.</t>
  </si>
  <si>
    <t>Gained clarity in instructional presentation and reference design.</t>
  </si>
  <si>
    <t>Delivered an impassioned speech on youth empowerment and self-reliance.</t>
  </si>
  <si>
    <t>Enhanced voice projection, stage presence, and elocution poise.</t>
  </si>
  <si>
    <t>Presented oral storytelling celebrating historical acts of resilience.</t>
  </si>
  <si>
    <t>Developed audience engagement techniques and expressive delivery.</t>
  </si>
  <si>
    <t>Designed a poster on daily water conservation practices in households.</t>
  </si>
  <si>
    <t>Learned concise visual-linguistic communication and focal framing.</t>
  </si>
  <si>
    <t>Collaborated with the rhythmic ensemble group during school celebrations.</t>
  </si>
  <si>
    <t>Strengthened auditory coordination and synchronized group performance.</t>
  </si>
  <si>
    <t>Authored an informative article on sustainable green technology trends.</t>
  </si>
  <si>
    <t>Cultivated methodical research habits and formal exposition.</t>
  </si>
  <si>
    <t>Penned a narrative on technological transformations within village communities.</t>
  </si>
  <si>
    <t>Enhanced imaginative storytelling and realistic character development.</t>
  </si>
  <si>
    <t>Master Class 12 syllabus and score 82%+ in Boards</t>
  </si>
  <si>
    <t>Higher Education in Science &amp; Defense Services (NDA)</t>
  </si>
  <si>
    <t>Participated in essay writing on building a self-reliant and secure India.</t>
  </si>
  <si>
    <t>Learned analytical research, thematic progression, and formal drafting.</t>
  </si>
  <si>
    <t>Arranged a symmetrical tri-color rangoli during festive celebrations.</t>
  </si>
  <si>
    <t>Learned color contrast, geometric balance, and team coordination.</t>
  </si>
  <si>
    <t>Created simple ethnic floral henna art patterns.</t>
  </si>
  <si>
    <t>Learned fine motor coordination and patient execution.</t>
  </si>
  <si>
    <t>Designed a silk-thread traditional Rakhi adorned with decorative accents.</t>
  </si>
  <si>
    <t>Learned handcrafting techniques and material resourcefulness.</t>
  </si>
  <si>
    <t>Sketched a detailed portrait celebrating Indian defense personnel.</t>
  </si>
  <si>
    <t>Learned shading gradients, proportion scaling, and pencil control.</t>
  </si>
  <si>
    <t>Wrote an essay on the importance of self-discipline in student life.</t>
  </si>
  <si>
    <t>Refined reflective thought structuring and personal articulation.</t>
  </si>
  <si>
    <t>Served as an active student representative in the class council.</t>
  </si>
  <si>
    <t>Developed leadership, peer empathy, and collective accountability.</t>
  </si>
  <si>
    <t>Created a physics formula reference chart for classroom display.</t>
  </si>
  <si>
    <t>Learned concise reference designing and technical charting.</t>
  </si>
  <si>
    <t>Delivered a speech on National Integration and Cultural Diversity.</t>
  </si>
  <si>
    <t>Improved public speaking clarity, diction, and vocal modulation.</t>
  </si>
  <si>
    <t>Narrated a biographical vignette highlighting national freedom fighters.</t>
  </si>
  <si>
    <t>Learned impactful oral storytelling and historical narrative pacing.</t>
  </si>
  <si>
    <t>Prepared an awareness poster on digital safety and cyber ethics.</t>
  </si>
  <si>
    <t>Learned graphical warning layouts and informative slogan writing.</t>
  </si>
  <si>
    <t>Accompanied the school choir with rhythmic percussion instruments.</t>
  </si>
  <si>
    <t>Learned tempo maintenance and ensemble discipline.</t>
  </si>
  <si>
    <t>Drafted an article on the role of sportsmanship in character development.</t>
  </si>
  <si>
    <t>Learned structured non-fiction composition and balanced argumentation.</t>
  </si>
  <si>
    <t>Wrote a creative narrative about teamwork during an outdoor expedition.</t>
  </si>
  <si>
    <t>Enhanced imaginative plot structuring and descriptive writing.</t>
  </si>
  <si>
    <t>Score 90%+ in Class 12 Board Examinations</t>
  </si>
  <si>
    <t>Qualify NDA &amp; Join Indian Armed Forces as a Commissioned Officer</t>
  </si>
  <si>
    <t>Drafted an essay on the importance of national defense and sovereignty.</t>
  </si>
  <si>
    <t>Learned formal essay composition, rhetoric, and patriotic civic responsibility.</t>
  </si>
  <si>
    <t>Designed a tri-color themed rangoli pattern for national celebrations.</t>
  </si>
  <si>
    <t>Learned symmetrical layout, color blending, and team division of labor.</t>
  </si>
  <si>
    <t>Explored traditional line motifs and geometric henna borders.</t>
  </si>
  <si>
    <t>Developed precision hand control, concentration, and focus.</t>
  </si>
  <si>
    <t>Constructed an innovative handcrafted Rakhi with original design concepts.</t>
  </si>
  <si>
    <t>Cultivated inventive thinking, material upcycling, and craft patience.</t>
  </si>
  <si>
    <t>Created a poster painting dedicated to national security awareness.</t>
  </si>
  <si>
    <t>Honed visual graphic storytelling and bold illustrative style.</t>
  </si>
  <si>
    <t>Wrote an extensive essay on civic awareness and road rules.</t>
  </si>
  <si>
    <t>Gained substantial practice in fluent writing and logical flow.</t>
  </si>
  <si>
    <t>Actively contributed to Bal Sansad student welfare planning and discipline.</t>
  </si>
  <si>
    <t>Cultivated command presence, team ethics, and strategic planning.</t>
  </si>
  <si>
    <t>Prepared a comprehensive chart illustrating Road Safety Regulations.</t>
  </si>
  <si>
    <t>Emphasized community awareness and clear instructional design.</t>
  </si>
  <si>
    <t>Delivered a speech on Courage, Valor, and Selfless Service.</t>
  </si>
  <si>
    <t>Enhanced speaking poise, dynamic inflection, and assertiveness.</t>
  </si>
  <si>
    <t>Wrote and presented a poignant short story on selfless community service.</t>
  </si>
  <si>
    <t>Learned concise narrative drafting and expressive oral presentation.</t>
  </si>
  <si>
    <t>Created an educational poster on traffic discipline and helmet safety.</t>
  </si>
  <si>
    <t>Understood visual messaging techniques and audience psychology.</t>
  </si>
  <si>
    <t>Participated in the school instrumental ensemble band.</t>
  </si>
  <si>
    <t>Learned collaborative rhythm, auditory focus, and group harmony.</t>
  </si>
  <si>
    <t>Authored an informative article on physical fitness and endurance training.</t>
  </si>
  <si>
    <t>Refined factual reporting and evidence-based argument building.</t>
  </si>
  <si>
    <t>Penned a narrative on valor, resilience, and camaraderie in uniform.</t>
  </si>
  <si>
    <t>Developed structured story pacing and suspenseful narrative arcs.</t>
  </si>
  <si>
    <t>Complete Class 12 with good marks and build a strong foundation</t>
  </si>
  <si>
    <t>Mechanical Engineer innovating sustainable engineering technologies</t>
  </si>
  <si>
    <t>Wrote a visionary essay on India 2047 covering education, healthcare, and infrastructure.</t>
  </si>
  <si>
    <t>Deepened reflective thinking and strategic planning for national development.</t>
  </si>
  <si>
    <t>Designed a geometric floral rangoli using dry powders and organic petals.</t>
  </si>
  <si>
    <t>Cultivated patience, design symmetry, and spatial harmony.</t>
  </si>
  <si>
    <t>Assisted in intricate henna application and border sketching.</t>
  </si>
  <si>
    <t>Developed fine attention to line details and manual steady control.</t>
  </si>
  <si>
    <t>Created an artisanal handcrafted Rakhi using natural seeds and floral fibers.</t>
  </si>
  <si>
    <t>Learned to create beautiful, sustainable craft items from scratch.</t>
  </si>
  <si>
    <t>Illustrated technological advances in green machinery and automation.</t>
  </si>
  <si>
    <t>Improved precision mechanical sketching and watercolor rendering.</t>
  </si>
  <si>
    <t>Authored a reflective essay on Mahatma Gandhi's philosophy and life contribution.</t>
  </si>
  <si>
    <t>Learned biographical essay analysis, moral philosophy, and concise prose.</t>
  </si>
  <si>
    <t>Contributed constructive ideas during school student forum deliberations.</t>
  </si>
  <si>
    <t>Learned collective debate, diplomatic listening, and problem solving.</t>
  </si>
  <si>
    <t>Engineered a comprehensive chart on Balanced Diet and Human Physiology.</t>
  </si>
  <si>
    <t>Learned anatomical illustration and informative health communication.</t>
  </si>
  <si>
    <t>Delivered an elocution on Future Mobility, Robotics, and Green Automation.</t>
  </si>
  <si>
    <t>Cultivated stage confidence, clear diction, and articulate presentation.</t>
  </si>
  <si>
    <t>Authored a character-driven narrative about integrity and moral courage.</t>
  </si>
  <si>
    <t>Gained storytelling depth, character pacing, and dialogue crafting.</t>
  </si>
  <si>
    <t>Designed an IEP poster advocating sustainable lifestyle and waste reduction.</t>
  </si>
  <si>
    <t>Learned graphic layouts, minimal design aesthetics, and typography.</t>
  </si>
  <si>
    <t>Performed rhythm percussion in the school orchestra band.</t>
  </si>
  <si>
    <t>Learned disciplined tempo maintenance and acoustic group synchronization.</t>
  </si>
  <si>
    <t>Published a well-structured article on renewable mechanical energy systems.</t>
  </si>
  <si>
    <t>Refined explanatory non-fiction prose and technical reporting.</t>
  </si>
  <si>
    <t>Wrote an imaginative story about an aspiring rural engineer inventing a harvester.</t>
  </si>
  <si>
    <t>Broadened creative narrative skills and pragmatic world-building.</t>
  </si>
  <si>
    <t>Put utmost effort to attain 90%+ in Class 12 Boards</t>
  </si>
  <si>
    <t>Serve the Nation with distinction in the Indian Army 🇮🇳</t>
  </si>
  <si>
    <t>Composed an essay highlighting duty, discipline, and armed forces modernization.</t>
  </si>
  <si>
    <t>Learned clear formal expression, patriotic rhetoric, and concise logic.</t>
  </si>
  <si>
    <t>Helped lay a patriotic tri-color rangoli in the central school corridor.</t>
  </si>
  <si>
    <t>Learned team coordination, geometric alignment, and festive decorum.</t>
  </si>
  <si>
    <t>Practiced floral henna line-drawing and delicate leaf patterns.</t>
  </si>
  <si>
    <t>Cultivated fine muscle control, patience, and visual detailing.</t>
  </si>
  <si>
    <t>Crafted a sturdy military-themed craft Rakhi using ribbons and emblems.</t>
  </si>
  <si>
    <t>Learned creative construction, symbolism, and artisanal handcrafting.</t>
  </si>
  <si>
    <t>Painted a mountain border defense scene in water and poster colors.</t>
  </si>
  <si>
    <t>Enhanced perspective drawing, terrain shading, and emotional depth.</t>
  </si>
  <si>
    <t>Authored an essay on leadership ethics and national defense preparedness.</t>
  </si>
  <si>
    <t>Strengthened argumentative writing and persuasive reasoning.</t>
  </si>
  <si>
    <t>Acted as discipline prefect in Bal Sansad governing sessions.</t>
  </si>
  <si>
    <t>Learned real-time dispute resolution, team command, and fairness.</t>
  </si>
  <si>
    <t>Prepared an educational chart on Indian Geography and border terrain.</t>
  </si>
  <si>
    <t>Learned cartographic sketching and informative educational layouts.</t>
  </si>
  <si>
    <t>Delivered a roaring speech on Valor, Duty, and Selfless Service to the Motherland.</t>
  </si>
  <si>
    <t>Developed inspiring vocal projection, platform confidence, and poise.</t>
  </si>
  <si>
    <t>Narrated a historical account of Indian military triumph and strategic brilliance.</t>
  </si>
  <si>
    <t>Mastered captivating verbal delivery, dramatic pacing, and emotion.</t>
  </si>
  <si>
    <t>Designed a poster on disaster management protocols and civic responsibility.</t>
  </si>
  <si>
    <t>Learned impactful warning visuals, iconography, and clear text cues.</t>
  </si>
  <si>
    <t>Maintained a steady percussion beat in the school group orchestra.</t>
  </si>
  <si>
    <t>Learned foundational musical tempo, acoustic balance, and discipline.</t>
  </si>
  <si>
    <t>Wrote an article analyzing the benefits of mandatory sports education in schools.</t>
  </si>
  <si>
    <t>Improved persuasive structure, editorial clarity, and coherence.</t>
  </si>
  <si>
    <t>Authored a heroic story of survival, brotherhood, and tactical courage.</t>
  </si>
  <si>
    <t>Gained proficiency in suspenseful narration and descriptive writing.</t>
  </si>
  <si>
    <t>Attain 80%+ in UP Board Exams and strengthen concepts</t>
  </si>
  <si>
    <t>Bachelor of Science (B.Sc) / Defense Services</t>
  </si>
  <si>
    <t>Authored an essay on youth participation in village development.</t>
  </si>
  <si>
    <t>Learned research structuring and formal expression.</t>
  </si>
  <si>
    <t>Designed a geometric colorful rangoli during the school cultural fest.</t>
  </si>
  <si>
    <t>Learned design symmetry, color harmony, and team cooperation.</t>
  </si>
  <si>
    <t>Practiced traditional linear mehndi patterns on paper.</t>
  </si>
  <si>
    <t>Improved steady hand control, patience, and precision.</t>
  </si>
  <si>
    <t>Crafted an eco-friendly Rakhi from colorful yarn and beads.</t>
  </si>
  <si>
    <t>Developed DIY handcrafting skills and resource efficiency.</t>
  </si>
  <si>
    <t>Sketched a rural agricultural landscape using graphite and watercolor.</t>
  </si>
  <si>
    <t>Learned perspective shading and scenic composition.</t>
  </si>
  <si>
    <t>Wrote an essay on the importance of moral values in student life.</t>
  </si>
  <si>
    <t>Strengthened logical reasoning and paragraph coherence.</t>
  </si>
  <si>
    <t>Participated actively in Bal Sansad cleanliness drives.</t>
  </si>
  <si>
    <t>Learned collaborative community action and shared responsibility.</t>
  </si>
  <si>
    <t>Created an educational chart on human circulatory and organ systems.</t>
  </si>
  <si>
    <t>Mastered schematic layout and informative presentation.</t>
  </si>
  <si>
    <t>Delivered a speech on the Importance of Cleanliness and Sanitation.</t>
  </si>
  <si>
    <t>Conquered platform hesitation and gained vocal clarity.</t>
  </si>
  <si>
    <t>Narrated a traditional story on community unity and courage.</t>
  </si>
  <si>
    <t>Learned vocal inflection, audience connection, and narrative flow.</t>
  </si>
  <si>
    <t>Designed a poster on water conservation and rainwater harvesting.</t>
  </si>
  <si>
    <t>Learned visual messaging, clean borders, and slogan placement.</t>
  </si>
  <si>
    <t>Accompanied the school orchestra on rhythm instruments.</t>
  </si>
  <si>
    <t>Learned musical timing, tempo balance, and team discipline.</t>
  </si>
  <si>
    <t>Authored an article on improving agricultural methods through science.</t>
  </si>
  <si>
    <t>Refined expository prose and evidence-based reporting.</t>
  </si>
  <si>
    <t>Wrote a creative story about a village boy building a water pump.</t>
  </si>
  <si>
    <t>Enhanced creative storytelling, realistic dialogue, and character arcs.</t>
  </si>
  <si>
    <t>Score 85%+ in Class 12 Board Examinations</t>
  </si>
  <si>
    <t>Engineering Degree from a Reputed Technical Institute</t>
  </si>
  <si>
    <t>Wrote a comprehensive essay on building a self-reliant India through technology.</t>
  </si>
  <si>
    <t>Learned analytical writing, structured paragraphs, and objective synthesis.</t>
  </si>
  <si>
    <t>Created an artistic festive rangoli layout using colored sand and petals.</t>
  </si>
  <si>
    <t>Enhanced patience, spatial geometry, and collaborative execution.</t>
  </si>
  <si>
    <t>Executed delicate henna designs with symmetrical floral mandalas.</t>
  </si>
  <si>
    <t>Strengthened fine precision, steady hand handling, and patience.</t>
  </si>
  <si>
    <t>Crafted a handmade festival Rakhi with silk thread, mirrors, and beads.</t>
  </si>
  <si>
    <t>Learned creative craft assembly, resourcefulness, and finishing skills.</t>
  </si>
  <si>
    <t>Illustrated a vivid watercolor landscape promoting water conservation.</t>
  </si>
  <si>
    <t>Improved brush techniques, smooth gradients, and color harmony.</t>
  </si>
  <si>
    <t>Authored an essay addressing challenges and reforms in modern education.</t>
  </si>
  <si>
    <t>Learned balanced reasoning, analytical writing, and logical transitions.</t>
  </si>
  <si>
    <t>Actively contributed to Bal Sansad student governance and classroom decorum.</t>
  </si>
  <si>
    <t>Cultivated team collaboration, public accountability, and civic duty.</t>
  </si>
  <si>
    <t>Prepared a science educational chart explaining renewable energy systems.</t>
  </si>
  <si>
    <t>Learned infographic organization, icon placement, and content hierarchy.</t>
  </si>
  <si>
    <t>Delivered a speech on youth leadership in driving modern digital infrastructure.</t>
  </si>
  <si>
    <t>Overcame nervousness, improved vocal clarity, and engaged the audience.</t>
  </si>
  <si>
    <t>Narrated an inspiring story on overcoming failures through relentless practice.</t>
  </si>
  <si>
    <t>Learned emotional expressiveness, narrative hooks, and audience connection.</t>
  </si>
  <si>
    <t>Created a social awareness poster advocating mass tree plantation.</t>
  </si>
  <si>
    <t>Cultivated impactful visual messaging, bold contrast, and typography.</t>
  </si>
  <si>
    <t>Played percussion instruments in the school orchestra team.</t>
  </si>
  <si>
    <t>Cultivated musical discipline, auditory focus, and group coordination.</t>
  </si>
  <si>
    <t>Wrote an analytical article on Digital India and digital payments revolution.</t>
  </si>
  <si>
    <t>Refined formal essay style, research methodology, and factual rigor.</t>
  </si>
  <si>
    <t>Penned a creative fictional story on student innovators designing farm tools.</t>
  </si>
  <si>
    <t>Learned descriptive scene-setting, character dialogue, and plot arcs.</t>
  </si>
  <si>
    <t>Score 85%+ and excel in physics problem solving</t>
  </si>
  <si>
    <t>B.Tech in Information Technology / Software Engineering</t>
  </si>
  <si>
    <t>Authored an essay on digital empowerment and connectivity in rural education.</t>
  </si>
  <si>
    <t>Learned research synthesis, thesis structure, and formal vocabulary.</t>
  </si>
  <si>
    <t>Formed colorful geometric rangoli borders using powdered chalk and pigments.</t>
  </si>
  <si>
    <t>Learned design planning, border symmetry, and fine execution.</t>
  </si>
  <si>
    <t>Drafted traditional line mehndi patterns and paisley motifs.</t>
  </si>
  <si>
    <t>Cultivated delicate manual dexterity and steady hand stability.</t>
  </si>
  <si>
    <t>Constructed a handcrafted Rakhi using recycled packaging materials.</t>
  </si>
  <si>
    <t>Cultivated upcycling habits, sustainable crafting, and precision.</t>
  </si>
  <si>
    <t>Created a watercolor depiction of deep-space exploration and satellites.</t>
  </si>
  <si>
    <t>Enhanced imaginative coloring, lighting effects, and brush techniques.</t>
  </si>
  <si>
    <t>Wrote an essay discussing cyber safety protocols for young internet users.</t>
  </si>
  <si>
    <t>Developed structured warnings, digital ethics insights, and persuasive flow.</t>
  </si>
  <si>
    <t>Participated in Bal Sansad assembly discussions on peer mentoring systems.</t>
  </si>
  <si>
    <t>Built a collaborative mindset and collective student governance skills.</t>
  </si>
  <si>
    <t>Designed an educational chart outlining electromagnetism laws and circuitry.</t>
  </si>
  <si>
    <t>Gained clarity in schematic drafting and technical visualization.</t>
  </si>
  <si>
    <t>Delivered a speech on artificial intelligence benefits and ethical precautions.</t>
  </si>
  <si>
    <t>Improved stage confidence, presentation structure, and articulation.</t>
  </si>
  <si>
    <t>Told a story highlighting community cooperation during regional power blackouts.</t>
  </si>
  <si>
    <t>Enhanced vocal expressions, situational humor, and narrative pacing.</t>
  </si>
  <si>
    <t>Designed a poster promoting mental well-being and stress relief in students.</t>
  </si>
  <si>
    <t>Learned balance between visual elements, negative space, and text.</t>
  </si>
  <si>
    <t>Participated in the instrumental music ensemble playing acoustic rhythm.</t>
  </si>
  <si>
    <t>Learned collective timing, musical cues, and rhythm harmony.</t>
  </si>
  <si>
    <t>Authored an editorial on modern coding literacy for secondary students.</t>
  </si>
  <si>
    <t>Refined informative journalism and structured evidence citation.</t>
  </si>
  <si>
    <t>Wrote a science fiction tale about an interstellar voyage driven by clean energy.</t>
  </si>
  <si>
    <t>Strengthened plot development, world-building, and creative fiction.</t>
  </si>
  <si>
    <t>Score 80%+ and qualify central university entrance tests</t>
  </si>
  <si>
    <t>Crack CUET &amp; Pursue Higher University Studies</t>
  </si>
  <si>
    <t>Authored an essay on fundamental duties and their role in nation building.</t>
  </si>
  <si>
    <t>Gained a deeper perspective on civic participation and structured writing.</t>
  </si>
  <si>
    <t>Collaborated on a decorative entrance rangoli for the school assembly hall.</t>
  </si>
  <si>
    <t>Learned team synergy, spatial alignment, and color coordination.</t>
  </si>
  <si>
    <t>Assisted in pattern drafting and motif placement for festive henna art.</t>
  </si>
  <si>
    <t>Improved hand-eye coordination, focus, and detailed execution.</t>
  </si>
  <si>
    <t>Crafted a handmade festive Rakhi using craft paper, silk, and beads.</t>
  </si>
  <si>
    <t>Learned craft assembly skills, patience, and creative design aesthetics.</t>
  </si>
  <si>
    <t>Created a watercolor drawing showcasing peaceful village lifestyle and nature.</t>
  </si>
  <si>
    <t>Developed color harmony, landscape perspective, and brush dexterity.</t>
  </si>
  <si>
    <t>Wrote an essay on the role of youth volunteerism in community welfare.</t>
  </si>
  <si>
    <t>Learned persuasive articulation, logical cohesion, and clear transitions.</t>
  </si>
  <si>
    <t>Supported student affairs and logistics management in Bal Sansad.</t>
  </si>
  <si>
    <t>Learned organizational delegation, peer diplomacy, and responsibility.</t>
  </si>
  <si>
    <t>Designed an instructional wall chart on English grammar and language skills.</t>
  </si>
  <si>
    <t>Enhanced chart layout, typography choices, and content organization.</t>
  </si>
  <si>
    <t>Delivered a speech on the lifelong value of regular physical fitness.</t>
  </si>
  <si>
    <t>Built platform courage, audience rapport, and vocal clarity.</t>
  </si>
  <si>
    <t>Presented oral storytelling on historic unity and collective triumph.</t>
  </si>
  <si>
    <t>Learned dramatic expression, suspenseful pauses, and voice dynamics.</t>
  </si>
  <si>
    <t>Created an educational poster on environmental cleanliness and waste bins.</t>
  </si>
  <si>
    <t>Learned simple, catchy slogan drafting and visual prominence.</t>
  </si>
  <si>
    <t>Participated in the school orchestra vocal and harmony ensemble.</t>
  </si>
  <si>
    <t>Cultivated vocal-instrumental balance, rhythm, and active listening.</t>
  </si>
  <si>
    <t>Wrote an article evaluating modern sports training infrastructure in India.</t>
  </si>
  <si>
    <t>Improved analytical journalism, research gathering, and objective review.</t>
  </si>
  <si>
    <t>Authored a short story on two childhood friends overcoming financial hardships.</t>
  </si>
  <si>
    <t>Strengthened plot structuring, character growth, and narrative resolution.</t>
  </si>
  <si>
    <t>Score 70%+ in Class 12 Board Examinations</t>
  </si>
  <si>
    <t>Bachelor of Arts (B.A.) in Humanities / Civil Services Prep</t>
  </si>
  <si>
    <t>Wrote an essay on nation-building and socio-economic transformation.</t>
  </si>
  <si>
    <t>Substantially improved handwriting legibility and conceptual synthesis.</t>
  </si>
  <si>
    <t>Prepared a floral welcome rangoli at the main school foyer.</t>
  </si>
  <si>
    <t>Learned spatial alignment, organic color blending, and team planning.</t>
  </si>
  <si>
    <t>Created a traditional paisley pattern sketch on practice sheets.</t>
  </si>
  <si>
    <t>Improved patience, manual line consistency, and hand coordination.</t>
  </si>
  <si>
    <t>Crafted a decorative Rakhi using colorful silk ribbons and sequins.</t>
  </si>
  <si>
    <t>Strengthened artistic craftsmanship, hand dexterity, and finishing.</t>
  </si>
  <si>
    <t>Created a drawing depicting rural Indian landscapes with vibrant poster colors.</t>
  </si>
  <si>
    <t>Mastered color filling techniques, contrasting borders, and shading.</t>
  </si>
  <si>
    <t>Authored an essay on contemporary social issues and grassroots education.</t>
  </si>
  <si>
    <t>Improved prose organization, handwriting clarity, and thematic flow.</t>
  </si>
  <si>
    <t>Served as Head Student (Chhatra Pramukh) leading the student council.</t>
  </si>
  <si>
    <t>Learned exemplary leadership, conflict resolution, and administrative coordination.</t>
  </si>
  <si>
    <t>Hung educational charts and led the aesthetic beautification of the classroom.</t>
  </si>
  <si>
    <t>Learned spatial design, educational curation, and room ergonomics.</t>
  </si>
  <si>
    <t>Delivered a fiery, passionate speech on Unemployment and Sustainable Solutions.</t>
  </si>
  <si>
    <t>Built confident interpersonal dialogue, emotional rhetoric, and stage authority.</t>
  </si>
  <si>
    <t>Wrote an introspective short story on overcoming systemic societal challenges.</t>
  </si>
  <si>
    <t>Expanded imaginative and critical faculties and empathetic writing.</t>
  </si>
  <si>
    <t>Designed an illustrative poster advocating universal literacy for underprivileged youth.</t>
  </si>
  <si>
    <t>Learned effective visual composition, bold headings, and color contrast.</t>
  </si>
  <si>
    <t>Supported rhythm percussion accompaniment in the school orchestra.</t>
  </si>
  <si>
    <t>Cultivated disciplined ensemble timing, attentiveness, and unity.</t>
  </si>
  <si>
    <t>Authored a written article on contemporary social issues and youth duties.</t>
  </si>
  <si>
    <t>Greatly improved formal writing skills, analytical depth, and clarity.</t>
  </si>
  <si>
    <t>Composed a thoughtful creative story on moral choices during challenging times.</t>
  </si>
  <si>
    <t>Enhanced storytelling capabilities, ethical themes, and expressive dialogue.</t>
  </si>
  <si>
    <t>Bachelor of Engineering (B.Tech)</t>
  </si>
  <si>
    <t>Drafted an essay on engineering innovations driving national development.</t>
  </si>
  <si>
    <t>Overcame writer's block and mastered structured essay planning under deadlines.</t>
  </si>
  <si>
    <t>Created new, experimental rangoli designs using fine color powders.</t>
  </si>
  <si>
    <t>Learned innovative patterning and overcame design execution challenges.</t>
  </si>
  <si>
    <t>Practiced intricate mehndi application focusing on continuous lace borders.</t>
  </si>
  <si>
    <t>Cultivated sustained focus, manual control, and fine motor patience.</t>
  </si>
  <si>
    <t>Engineered a handcrafted Rakhi from eco-friendly cardboard and beads.</t>
  </si>
  <si>
    <t>Learned creative problem solving, upcycling, and delicate joining.</t>
  </si>
  <si>
    <t>Created an expressive thematic drawing tackling modern environmental challenges.</t>
  </si>
  <si>
    <t>Learned how to confront artistic challenges and paint fearlessly.</t>
  </si>
  <si>
    <t>Authored a reflective essay evaluating technological integration in schooling.</t>
  </si>
  <si>
    <t>Discovered innovative ways of structuring arguments and expressing ideas clearly.</t>
  </si>
  <si>
    <t>Actively engaged in Bal Sansad activities, representing student grievances.</t>
  </si>
  <si>
    <t>Overcame fear of public speaking and learned collaborative governance.</t>
  </si>
  <si>
    <t>Designed a scientific display chart detailing modern renewable energy cycles.</t>
  </si>
  <si>
    <t>Learned visual hierarchy, information clarity, and schematic rendering.</t>
  </si>
  <si>
    <t>Delivered a persuasive speech on youth resilience in the face of failure.</t>
  </si>
  <si>
    <t>Conquered stage fright, modulated vocal pitch, and gained poised composure.</t>
  </si>
  <si>
    <t>Composed an engaging narrative on triumphing over steep academic obstacles.</t>
  </si>
  <si>
    <t>Strengthened emotional storytelling, character motivation, and pace.</t>
  </si>
  <si>
    <t>Designed a poster promoting clean energy alternatives and reduced emissions.</t>
  </si>
  <si>
    <t>Learned bold color contrast, eye-catching graphics, and concise typography.</t>
  </si>
  <si>
    <t>Participated as an instrumentalist in the group orchestra.</t>
  </si>
  <si>
    <t>Learned auditory coordination, synchrony, and musical timing.</t>
  </si>
  <si>
    <t>Authored an analytical article on emerging global trends in artificial intelligence.</t>
  </si>
  <si>
    <t>Developed a unique writing voice, analytical depth, and research clarity.</t>
  </si>
  <si>
    <t>Wrote a creative adventure story about young explorers mapping renewable resources.</t>
  </si>
  <si>
    <t>Developed dynamic plot hooks, tension escalation, and satisfying resolution.</t>
  </si>
  <si>
    <t>Pursue Engineering at a Top Technical Institute</t>
  </si>
  <si>
    <t>Wrote a detailed essay on national advancement through scientific research.</t>
  </si>
  <si>
    <t>Learned that active participation in school projects provides vast practical learning.</t>
  </si>
  <si>
    <t>Designed a vibrant festive rangoli chart with geometric symmetries.</t>
  </si>
  <si>
    <t>Learned color synchronization, geometric grid layout, and precision.</t>
  </si>
  <si>
    <t>Observed and designed basic mehndi border patterns on practice paper.</t>
  </si>
  <si>
    <t>Developed fine hand precision, pattern spacing, and pencil steadiness.</t>
  </si>
  <si>
    <t>Crafted a handmade Rakhi using colorful ribbons, mirrors, and embellishments.</t>
  </si>
  <si>
    <t>Learned handcrafted artistry, patience, and decorative assembly.</t>
  </si>
  <si>
    <t>Created a thematic drawing chart highlighting ecological sustainability.</t>
  </si>
  <si>
    <t>Learned visual composition, perspective scaling, and drawing techniques.</t>
  </si>
  <si>
    <t>Authored an essay on the life, ethics, and principles of visionary Indian leaders.</t>
  </si>
  <si>
    <t>Learned biographical research methods, critical reflection, and concise prose.</t>
  </si>
  <si>
    <t>Supported peer council initiatives and committee meetings in Bal Sansad.</t>
  </si>
  <si>
    <t>Learned team ethics, peer coordination, and democratic responsibility.</t>
  </si>
  <si>
    <t>Designed an educational chart for classroom decoration illustrating optics laws.</t>
  </si>
  <si>
    <t>Learned instructional information design and clear visual aids.</t>
  </si>
  <si>
    <t>Participated in the speech competition and delivered an impassioned address.</t>
  </si>
  <si>
    <t>Enhanced oratorical eloquence, stage posture, and vocal confidence.</t>
  </si>
  <si>
    <t>Presented an oral story on unity in diversity and communal harmony.</t>
  </si>
  <si>
    <t>Learned voice dynamics, narrative pauses, and audience engagement.</t>
  </si>
  <si>
    <t>Created an IEP social awareness poster promoting universal secondary education.</t>
  </si>
  <si>
    <t>Mastered visual focal points, clear taglines, and graphic harmony.</t>
  </si>
  <si>
    <t>Accompanied the musical band with percussion during group presentations.</t>
  </si>
  <si>
    <t>Learned musical coordination, dynamic timing, and ensemble teamwork.</t>
  </si>
  <si>
    <t>Authored an article on fostering scientific temper in daily school routines.</t>
  </si>
  <si>
    <t>Learned structured non-fiction composition and objective evidence presentation.</t>
  </si>
  <si>
    <t>Wrote an imaginative story about perseverance through mathematical challenges.</t>
  </si>
  <si>
    <t>Developed creative storytelling abilities, thematic focus, and flow.</t>
  </si>
  <si>
    <t>Attain 80%+ Marks in UP Board Examinations</t>
  </si>
  <si>
    <t>CUET &amp; B.Tech in Computer Science (Cybersecurity)</t>
  </si>
  <si>
    <t>Authored a forward-looking essay on innovative tech and sustainable national strategies.</t>
  </si>
  <si>
    <t>Learned critical challenge analysis and proposing tech-driven solutions.</t>
  </si>
  <si>
    <t>Created a geometric mandala rangoli utilizing complementary color harmonies.</t>
  </si>
  <si>
    <t>Cultivated methodical spatial planning, color theory, and team focus.</t>
  </si>
  <si>
    <t>Practiced symmetrical henna lattice work and intricate geometric borders.</t>
  </si>
  <si>
    <t>Strengthened meticulous precision, hand discipline, and detailing.</t>
  </si>
  <si>
    <t>Designed an eco-friendly Rakhi utilizing sustainable organic materials.</t>
  </si>
  <si>
    <t>Combined traditional Indian craftsmanship with modern sustainable design aesthetics.</t>
  </si>
  <si>
    <t>Created a thematic digital/manual artwork on environmental conservation.</t>
  </si>
  <si>
    <t>Enhanced technical skills, visual storytelling, and aesthetic balance.</t>
  </si>
  <si>
    <t>Authored an innovative essay on technological foundations of national growth.</t>
  </si>
  <si>
    <t>Gained critical analytical abilities and creative non-fiction writing skills.</t>
  </si>
  <si>
    <t>Acted as council coordinator in Bal Sansad, managing student sessions.</t>
  </si>
  <si>
    <t>Learned parliamentary governance, diplomatic mediation, and leadership.</t>
  </si>
  <si>
    <t>Crafted a creative, informative visual chart on network security fundamentals.</t>
  </si>
  <si>
    <t>Enhanced presentation skills, visual communication, and instructional clarity.</t>
  </si>
  <si>
    <t>Delivered a speech on national development and youth cybersecurity vigilance.</t>
  </si>
  <si>
    <t>Improved public speaking, boosted leadership confidence, and lowered anxiety.</t>
  </si>
  <si>
    <t>Narrated an engaging, expressive moral story on integrity and digital ethics.</t>
  </si>
  <si>
    <t>Enhanced public speaking skills, dynamic pacing, and emotional connection.</t>
  </si>
  <si>
    <t>Created an impactful visual campaign poster on a pressing social issue.</t>
  </si>
  <si>
    <t>Enhanced visual communication skills and deepened social responsibility.</t>
  </si>
  <si>
    <t>Coordinated rhythmic percussion performance in the school orchestra.</t>
  </si>
  <si>
    <t>Cultivated disciplined timing, listening skills, and synchronized teamwork.</t>
  </si>
  <si>
    <t>Wrote an insightful article on national progress in IT and software exports.</t>
  </si>
  <si>
    <t>Enhanced research skills, formal prose style, and expressive writing.</t>
  </si>
  <si>
    <t>Wrote an engaging, imaginative original story exploring cyber-futurism.</t>
  </si>
  <si>
    <t>Improved creative thinking, narrative world-building, and storytelling skills.</t>
  </si>
  <si>
    <t>Score 85%+ in UP Board Class 12 Examinations</t>
  </si>
  <si>
    <t>Clear Competitive Engineering Entrance Exams (JEE / State CET)</t>
  </si>
  <si>
    <t>Composed an essay on engineering innovations driving rural economic growth.</t>
  </si>
  <si>
    <t>Learned research integration, problem-solving prose, and formal grammar.</t>
  </si>
  <si>
    <t>Arranged a symmetrical rangoli during campus cultural celebrations.</t>
  </si>
  <si>
    <t>Learned color selection, radial balance, and cooperative execution.</t>
  </si>
  <si>
    <t>Drafted traditional linear patterns and border designs for festive mehndi.</t>
  </si>
  <si>
    <t>Cultivated manual patience, line control, and finger dexterity.</t>
  </si>
  <si>
    <t>Constructed a handcrafted Rakhi using silk yarn, beads, and small mirrors.</t>
  </si>
  <si>
    <t>Learned careful craft finishing, delicate assembly, and resourcefulness.</t>
  </si>
  <si>
    <t>Sketched industrial machinery functioning within a clean, green ecosystem.</t>
  </si>
  <si>
    <t>Learned technical perspective drawing, proportional scaling, and shading.</t>
  </si>
  <si>
    <t>Wrote an essay on the pivotal role of youth in national infrastructure building.</t>
  </si>
  <si>
    <t>Developed clear thematic articulation, objective reasoning, and structure.</t>
  </si>
  <si>
    <t>Managed peer logistics and venue arrangements for student council forums.</t>
  </si>
  <si>
    <t>Learned project organization, active listening, and team communication.</t>
  </si>
  <si>
    <t>Designed an educational chart on electrical circuits and household safety devices.</t>
  </si>
  <si>
    <t>Improved visual schematic skills, symbol accuracy, and clarity.</t>
  </si>
  <si>
    <t>Delivered an elocution on Sustainable Energy Solutions for modern industries.</t>
  </si>
  <si>
    <t>Gained public speaking composure, clear diction, and platform presence.</t>
  </si>
  <si>
    <t>Told an inspiring story on community solidarity during seasonal flood relief.</t>
  </si>
  <si>
    <t>Enhanced narrative delivery, character voice variations, and empathy.</t>
  </si>
  <si>
    <t>Designed an educational poster on energy conservation in domestic households.</t>
  </si>
  <si>
    <t>Learned visual hierarchy, contrast balance, and action-oriented slogans.</t>
  </si>
  <si>
    <t>Accompanied the school percussion band during annual assembly presentations.</t>
  </si>
  <si>
    <t>Learned musical timing, group rhythm harmony, and discipline.</t>
  </si>
  <si>
    <t>Authored an article on artificial intelligence in daily life and industrial safety.</t>
  </si>
  <si>
    <t>Learned structured reporting, technical summarization, and objectivity.</t>
  </si>
  <si>
    <t>Wrote a short story about a young village innovator building an automated well.</t>
  </si>
  <si>
    <t>Expanded imaginative thinking, practical problem solving, and writing.</t>
  </si>
  <si>
    <t>Engineering Degree and Technical Career in Industry</t>
  </si>
  <si>
    <t>Wrote a comprehensive essay under strict time constraints during competition.</t>
  </si>
  <si>
    <t>Cultivated rapid analytical writing, structural agility, and quick thinking.</t>
  </si>
  <si>
    <t>Helped lay geometric rangoli borders around the school administrative hall.</t>
  </si>
  <si>
    <t>Learned practical design collaboration, alignment, and spatial geometry.</t>
  </si>
  <si>
    <t>Practiced linear mehndi border motifs and delicate leaf embellishments.</t>
  </si>
  <si>
    <t>Cultivated motor steadiness, grip control, and artistic concentration.</t>
  </si>
  <si>
    <t>Crafted a handmade Rakhi from leftover woolen yarn and colored paper scraps.</t>
  </si>
  <si>
    <t>Learned DIY crafting basics, resource conservation, and fine assembly.</t>
  </si>
  <si>
    <t>Created a drawing on nature conservation featuring forests and waterways.</t>
  </si>
  <si>
    <t>Developed balanced coloring techniques, clean outlines, and visual harmony.</t>
  </si>
  <si>
    <t>Drafted an essay on technological transformation in manufacturing sectors.</t>
  </si>
  <si>
    <t>Strengthened structured argumentation, topic sentences, and transitions.</t>
  </si>
  <si>
    <t>Assisted student assembly management and discipline protocols in Bal Sansad.</t>
  </si>
  <si>
    <t>Learned disciplined team support, procedural order, and student ethics.</t>
  </si>
  <si>
    <t>Created an informative science poster and educational chart on mechanics.</t>
  </si>
  <si>
    <t>Mastered clear classroom presentation, visual balance, and chart design.</t>
  </si>
  <si>
    <t>Delivered a speech on the critical importance of digital discipline for students.</t>
  </si>
  <si>
    <t>Conquered platform hesitation, improved voice clarity, and posture.</t>
  </si>
  <si>
    <t>Narrated an inspiring story on honesty, integrity, and ethical choices.</t>
  </si>
  <si>
    <t>Learned audience engagement, suspenseful pacing, and expressive tone.</t>
  </si>
  <si>
    <t>Designed an IEP poster on road safety rules and pedestrian responsibilities.</t>
  </si>
  <si>
    <t>Learned effective visual warning design, iconography, and readability.</t>
  </si>
  <si>
    <t>Participated in the school orchestra rhythm section playing auxiliary beats.</t>
  </si>
  <si>
    <t>Developed rhythm, acoustic synchronization, and active listening.</t>
  </si>
  <si>
    <t>Authored an article on the importance of sportsmanship and physical well-being.</t>
  </si>
  <si>
    <t>Learned clear analytical writing, thesis consistency, and objective review.</t>
  </si>
  <si>
    <t>Wrote a creative narrative about teamwork during a science exhibition.</t>
  </si>
  <si>
    <t>Enhanced narrative writing skills, dialogue writing, and storyline flow.</t>
  </si>
  <si>
    <t>Score 80%+ and excel across all science practicals</t>
  </si>
  <si>
    <t>Engineering and Advanced Technology Career</t>
  </si>
  <si>
    <t>Participated in Tata essay writing competition on modern nation-building.</t>
  </si>
  <si>
    <t>Learned organized thesis planning, civic awareness, and patriotic pride.</t>
  </si>
  <si>
    <t>Designed a colorful floral rangoli for the school cultural exhibition.</t>
  </si>
  <si>
    <t>Developed patience, visual symmetry, color selection, and teamwork.</t>
  </si>
  <si>
    <t>Practiced traditional mehndi artwork with intricate peacock and floral motifs.</t>
  </si>
  <si>
    <t>Cultivated intense focus, delicate hand control, and fine line work.</t>
  </si>
  <si>
    <t>Handcrafted a decorative Rakhi using silk ribbons, beads, and glitter cord.</t>
  </si>
  <si>
    <t>Learned creative craft finishing, delicate assembly, and patience.</t>
  </si>
  <si>
    <t>Created a watercolor painting on environmental preservation and green hills.</t>
  </si>
  <si>
    <t>Learned color harmony, atmospheric shading, and visual storytelling.</t>
  </si>
  <si>
    <t>Authored an essay on youth leadership and modern democratic duties.</t>
  </si>
  <si>
    <t>Improved sentence structure, coherent argumentation, and persuasive flow.</t>
  </si>
  <si>
    <t>Contributed actively in Bal Sansad deliberations on school student welfare.</t>
  </si>
  <si>
    <t>Learned public responsibility, collective debate, and team collaboration.</t>
  </si>
  <si>
    <t>Designed a comprehensive physics law chart detailing mechanics formulas.</t>
  </si>
  <si>
    <t>Learned visual information design, formula indexing, and aesthetic layout.</t>
  </si>
  <si>
    <t>Delivered a speech on science for societal welfare and national progress.</t>
  </si>
  <si>
    <t>Overcame stage fright, honed speech clarity, and gained platform poise.</t>
  </si>
  <si>
    <t>Narrated a poignant story on moral fortitude and standing up for truth.</t>
  </si>
  <si>
    <t>Learned expressive pitch modulation, dramatic timing, and audience connection.</t>
  </si>
  <si>
    <t>Created an IEP poster advocating social equality and inclusive education.</t>
  </si>
  <si>
    <t>Learned balanced graphic messaging, focal emphasis, and typography.</t>
  </si>
  <si>
    <t>Performed percussion in the school orchestra during the annual celebration.</t>
  </si>
  <si>
    <t>Cultivated disciplined timing, auditory balance, and musical teamwork.</t>
  </si>
  <si>
    <t>Authored an article on digital innovations revolutionizing rural education.</t>
  </si>
  <si>
    <t>Learned formal publication composition, evidence citation, and clarity.</t>
  </si>
  <si>
    <t>Penned a short fictional tale on courage and perseverance during a crisis.</t>
  </si>
  <si>
    <t>Broadened creative storytelling abilities, pacing, and emotional arcs.</t>
  </si>
  <si>
    <t>Maintain 100% attendance, daily school practice &amp; score 85%+</t>
  </si>
  <si>
    <t>Pursue Bachelor of Technology in Mechanical Engineering</t>
  </si>
  <si>
    <t>Composed an essay on India's manufacturing backbone and future engineering.</t>
  </si>
  <si>
    <t>Learned structured analytical writing, industrial research, and clear prose.</t>
  </si>
  <si>
    <t>Collaborated on a campus rangoli for the school annual cultural festival.</t>
  </si>
  <si>
    <t>Cultivated team cooperation, geometric alignment, and color patience.</t>
  </si>
  <si>
    <t>Practiced traditional henna motifs and linear borders on practice sheets.</t>
  </si>
  <si>
    <t>Improved concentration, hand stability, and intricate detailing.</t>
  </si>
  <si>
    <t>Made a handmade Rakhi utilizing recycled craft materials and satin thread.</t>
  </si>
  <si>
    <t>Learned sustainable DIY techniques, waste minimization, and creativity.</t>
  </si>
  <si>
    <t>Drew an expressive illustration of modern clean factories and renewable energy.</t>
  </si>
  <si>
    <t>Learned perspective rendering, structural drawing, and watercolor washes.</t>
  </si>
  <si>
    <t>Wrote a reflective essay on the cumulative power of daily academic habits.</t>
  </si>
  <si>
    <t>Gained insights into structured rhetoric, persuasive logic, and clarity.</t>
  </si>
  <si>
    <t>Served in the student discipline and attendance wing of Bal Sansad.</t>
  </si>
  <si>
    <t>Learned operational teamwork, administrative integrity, and accountability.</t>
  </si>
  <si>
    <t>Crafted an educational chart illustrating Newton's three laws of motion.</t>
  </si>
  <si>
    <t>Learned diagram clarity, technical typography, and instructional layout.</t>
  </si>
  <si>
    <t>Spoke on The Value of Daily Consistency in Academic and Life Success.</t>
  </si>
  <si>
    <t>Gained confident platform delivery, vocal modulation, and audience rapport.</t>
  </si>
  <si>
    <t>Narrated an inspiring story about relentless dedication leading to mastery.</t>
  </si>
  <si>
    <t>Learned vocal modulation, dramatic pauses, and story characterization.</t>
  </si>
  <si>
    <t>Designed a poster promoting workshop safety practices and machine care.</t>
  </si>
  <si>
    <t>Learned graphic warning protocols, symbol design, and readable slogans.</t>
  </si>
  <si>
    <t>Played percussion accompaniment in the musical orchestra rhythm section.</t>
  </si>
  <si>
    <t>Learned rhythm synchronization, tempo awareness, and team discipline.</t>
  </si>
  <si>
    <t>Wrote an informative article on robotics and automation in manufacturing.</t>
  </si>
  <si>
    <t>Refined expository prose, objective analysis, and research presentation.</t>
  </si>
  <si>
    <t>Penned a story of a student discovering new machines in a local workshop.</t>
  </si>
  <si>
    <t>Boosted creative imagination, narrative descriptive prose, and plot flow.</t>
  </si>
  <si>
    <t>Subject-wise mastery and comprehensive score enhancement across boards</t>
  </si>
  <si>
    <t>Crack CUET &amp; Enter a Prestigious Central University</t>
  </si>
  <si>
    <t>Authored an essay on modern educational reforms and youth opportunities.</t>
  </si>
  <si>
    <t>Developed a systematic writing methodology, outline planning, and editing.</t>
  </si>
  <si>
    <t>Co-created a floral rangoli using vivid powders and natural flower petals.</t>
  </si>
  <si>
    <t>Learned spatial planning, symmetry, and collective design execution.</t>
  </si>
  <si>
    <t>Practiced delicate henna outline techniques and traditional mango motifs.</t>
  </si>
  <si>
    <t>Improved manual precision, line fluidity, and aesthetic detailing.</t>
  </si>
  <si>
    <t>Crafted a handcrafted Rakhi using silk yarn, mirrors, and glass beads.</t>
  </si>
  <si>
    <t>Learned fine decorative assembly, material joining, and craftsmanship.</t>
  </si>
  <si>
    <t>Illustrated a serene river ecosystem landscape in watercolors and ink.</t>
  </si>
  <si>
    <t>Learned smooth watercolor transitions, atmospheric depth, and line art.</t>
  </si>
  <si>
    <t>Drafted an essay on the importance of moral education in modern schooling.</t>
  </si>
  <si>
    <t>Enhanced clear logical argumentation, ethical reasoning, and flow.</t>
  </si>
  <si>
    <t>Engaged in Bal Sansad forums on classroom improvement and student needs.</t>
  </si>
  <si>
    <t>Built cooperative decision-making, active representation, and listening.</t>
  </si>
  <si>
    <t>Prepared a visual educational chart on chemical reactions and equations.</t>
  </si>
  <si>
    <t>Learned concise schematic presentation, balance, and chemical notations.</t>
  </si>
  <si>
    <t>Delivered a speech on Building Good Character through Daily Discipline.</t>
  </si>
  <si>
    <t>Learned confident audience connection, voice modulation, and clarity.</t>
  </si>
  <si>
    <t>Narrated a folklore story on wisdom, wit, and peaceful conflict resolution.</t>
  </si>
  <si>
    <t>Learned effective storytelling timing, expressive humor, and modulation.</t>
  </si>
  <si>
    <t>Designed a poster promoting clean water resources and river protection.</t>
  </si>
  <si>
    <t>Mastered visual hierarchy, focal illustration, and high-impact slogans.</t>
  </si>
  <si>
    <t>Participated in the school rhythm section playing handheld percussion.</t>
  </si>
  <si>
    <t>Learned group acoustic coordination, disciplined listening, and rhythm.</t>
  </si>
  <si>
    <t>Wrote an article evaluating renewable energy growth in rural Indian sectors.</t>
  </si>
  <si>
    <t>Refined research skills, data interpretation, and persuasive journalism.</t>
  </si>
  <si>
    <t>Authored a creative story on community cooperation during harvest season.</t>
  </si>
  <si>
    <t>Enhanced imaginative thinking, natural dialogue, and descriptive writing.</t>
  </si>
  <si>
    <t>Score excellent marks in Class 12th, strengthen concepts &amp; master time-management</t>
  </si>
  <si>
    <t>Build successful career using knowledge to solve real-world problems &amp; serve society</t>
  </si>
  <si>
    <t>Participated in the Tata Building Essay Competition sharing ideas on real-life problems.</t>
  </si>
  <si>
    <t>Suggested practical solutions like awareness and resource stewardship, gaining analytical research and confident rhetoric.</t>
  </si>
  <si>
    <t>Designed a geometric mandala rangoli with intricate circular symmetries.</t>
  </si>
  <si>
    <t>Cultivated patience, spatial balance, and harmonious color aesthetics.</t>
  </si>
  <si>
    <t>Practiced traditional henna motifs focusing on clean lines and shading.</t>
  </si>
  <si>
    <t>Improved fine motor dexterity, patience, and concentration.</t>
  </si>
  <si>
    <t>Crafted a handcrafted Rakhi using eco-friendly jute and cotton fibers.</t>
  </si>
  <si>
    <t>Learned creative resourcefulness, sustainable crafting, and finishing.</t>
  </si>
  <si>
    <t>Illustrated a visual narrative on global climate resilience and community effort.</t>
  </si>
  <si>
    <t>Developed advanced thematic composition, color theory, and visual metaphors.</t>
  </si>
  <si>
    <t>Wrote an extensive essay on pragmatic problem-solving and youth initiatives.</t>
  </si>
  <si>
    <t>Learned to synthesize real-world solutions eloquently and with conviction.</t>
  </si>
  <si>
    <t>Actively contributed to Bal Sansad policy discussions on student welfare.</t>
  </si>
  <si>
    <t>Cultivated civic leadership, democratic debate ethics, and consensus building.</t>
  </si>
  <si>
    <t>Designed a detailed educational infographic chart on sustainable ecosystems.</t>
  </si>
  <si>
    <t>Improved visual knowledge dissemination and instructional typography.</t>
  </si>
  <si>
    <t>Delivered a speech on Pragmatic Youth Actions for Sustainable Development.</t>
  </si>
  <si>
    <t>Mastered articulate delivery, stage composure, and persuasive rhetoric.</t>
  </si>
  <si>
    <t>Narrated an inspiring story on grassroots social entrepreneurship.</t>
  </si>
  <si>
    <t>Learned emotional resonance in speech, storytelling hooks, and delivery.</t>
  </si>
  <si>
    <t>Designed an IEP poster on community sustainability and circular economy.</t>
  </si>
  <si>
    <t>Learned concise design typography, symbolic graphics, and balance.</t>
  </si>
  <si>
    <t>Participated in the orchestra rhythm section coordinating group beats.</t>
  </si>
  <si>
    <t>Cultivated synchronized group harmony, disciplined tempo, and teamwork.</t>
  </si>
  <si>
    <t>Authored an article evaluating sustainable urban solutions in modern cities.</t>
  </si>
  <si>
    <t>Refined evidence-based journalism, citation accuracy, and exposition.</t>
  </si>
  <si>
    <t>Wrote a creative narrative about an ethical community leader reviving a lake.</t>
  </si>
  <si>
    <t>Developed rich character depth, thematic maturity, and story progression.</t>
  </si>
  <si>
    <t>Master core subjects and score 85%+ in Class 12 Boards</t>
  </si>
  <si>
    <t>Bachelor of Engineering (B.Tech) in Technical Disciplines</t>
  </si>
  <si>
    <t>Wrote a comprehensive essay on Indian development, unity, and youth responsibilities.</t>
  </si>
  <si>
    <t>Learned to organize ideas effectively, conduct timely research, and build confidence.</t>
  </si>
  <si>
    <t>Designed a colorful geometric rangoli for the school academic festival.</t>
  </si>
  <si>
    <t>Learned spatial alignment, color coordination, and cooperative execution.</t>
  </si>
  <si>
    <t>Practiced intricate henna hand designs with traditional lace patterns.</t>
  </si>
  <si>
    <t>Developed fine motor control, hand stability, and steady line drawing.</t>
  </si>
  <si>
    <t>Crafted a handcrafted Rakhi using silk ribbons and pearl accents.</t>
  </si>
  <si>
    <t>Cultivated meticulous craftsmanship, material aesthetics, and patience.</t>
  </si>
  <si>
    <t>Painted a nature conservation landscape showcasing forests and mountains.</t>
  </si>
  <si>
    <t>Improved color gradient transitions, brush control, and perspective.</t>
  </si>
  <si>
    <t>Authored an essay on the importance of national unity in diverse societies.</t>
  </si>
  <si>
    <t>Enhanced persuasive written expression, logical flow, and vocabulary.</t>
  </si>
  <si>
    <t>Engaged actively in Bal Sansad committee affairs and academic planning.</t>
  </si>
  <si>
    <t>Learned collective decision-making, administrative duty, and team ethics.</t>
  </si>
  <si>
    <t>Prepared an educational chart on fundamental scientific principles and laws.</t>
  </si>
  <si>
    <t>Learned effective infographic layout, schematic clarity, and readability.</t>
  </si>
  <si>
    <t>Delivered a speech on engineering applications for rural societal welfare.</t>
  </si>
  <si>
    <t>Overcame stage hesitation, improved fluency, and projected voice clearly.</t>
  </si>
  <si>
    <t>Narrated an inspiring story on perseverance, wisdom, and selfless hard work.</t>
  </si>
  <si>
    <t>Learned expressive vocal pacing, dynamic pitch, and listener rapport.</t>
  </si>
  <si>
    <t>Designed an IEP poster advocating clean green energy and solar adoption.</t>
  </si>
  <si>
    <t>Learned visual-linguistic synthesis, bold contrast, and thematic cues.</t>
  </si>
  <si>
    <t>Participated in the school rhythm band during annual festival performances.</t>
  </si>
  <si>
    <t>Cultivated team synchronization, active listening, and rhythmic precision.</t>
  </si>
  <si>
    <t>Wrote an analytical article on technological developments across modern India.</t>
  </si>
  <si>
    <t>Refined investigative writing, objective evidence evaluation, and prose.</t>
  </si>
  <si>
    <t>Composed a creative fiction story on social resilience and community hope.</t>
  </si>
  <si>
    <t>Enhanced imaginative writing, plot development, and narrative empathy.</t>
  </si>
  <si>
    <t>Attain 72%+ in Class 12 Board Examinations</t>
  </si>
  <si>
    <t>Bachelor of Arts (B.A.) in Social Sciences / Civil Services Preparation</t>
  </si>
  <si>
    <t>Wrote a structured essay on nation-building, social progress, and civic duties.</t>
  </si>
  <si>
    <t>Substantially improved handwriting legibility, composition, and vocabulary.</t>
  </si>
  <si>
    <t>Assisted in creating campus rangoli designs using organic powdered colors.</t>
  </si>
  <si>
    <t>Learned team coordination, aesthetic layout planning, and geometry.</t>
  </si>
  <si>
    <t>Practiced floral henna motifs and basic border patterns on paper.</t>
  </si>
  <si>
    <t>Improved patience, manual dexterity, and hand-eye coordination.</t>
  </si>
  <si>
    <t>Crafted a handmade Rakhi using colored craft paper, ribbons, and beads.</t>
  </si>
  <si>
    <t>Developed craft ingenuity, resourcefulness, and decorative design.</t>
  </si>
  <si>
    <t>Created a pencil and ink drawing showcasing historical Indian architecture.</t>
  </si>
  <si>
    <t>Improved line precision, proportional perspective, and light shading.</t>
  </si>
  <si>
    <t>Wrote an essay on social reforms and grassroots education in modern India.</t>
  </si>
  <si>
    <t>Substantially improved handwriting flow, paragraph unity, and rhetoric.</t>
  </si>
  <si>
    <t>Participated in Bal Sansad student council sessions representing classmates.</t>
  </si>
  <si>
    <t>Cultivated civic understanding, formal debate etiquette, and empathy.</t>
  </si>
  <si>
    <t>Designed an educational chart on Indian Constitution basics and citizen rights.</t>
  </si>
  <si>
    <t>Improved reference chart structuring, visual hierarchy, and clarity.</t>
  </si>
  <si>
    <t>Delivered a speech on the supreme importance of voting in a democracy.</t>
  </si>
  <si>
    <t>Built confident stage delivery, eye contact, and persuasive diction.</t>
  </si>
  <si>
    <t>Narrated a historical folklore story illustrating honesty and sacrifice.</t>
  </si>
  <si>
    <t>Learned compelling audience storytelling, voice control, and pacing.</t>
  </si>
  <si>
    <t>Designed a poster promoting universal literacy and girl child schooling.</t>
  </si>
  <si>
    <t>Learned effective graphic hierarchy, clean borders, and slogan balance.</t>
  </si>
  <si>
    <t>Supported rhythm accompaniment in the school orchestra on percussion.</t>
  </si>
  <si>
    <t>Cultivated disciplined timing, attentiveness, and collective musical focus.</t>
  </si>
  <si>
    <t>Authored a written article on cultural heritage preservation in Uttar Pradesh.</t>
  </si>
  <si>
    <t>Refined formal essay style, factual reporting, and structured exposition.</t>
  </si>
  <si>
    <t>Wrote a creative narrative on community solidarity during an unexpected drought.</t>
  </si>
  <si>
    <t>Enhanced literary imagination, descriptive language, and story closure.</t>
  </si>
  <si>
    <t>Score 80%+ and excel across Physics and Chemistry subjects</t>
  </si>
  <si>
    <t>Engineering Degree (B.Tech) from a Reputed University</t>
  </si>
  <si>
    <t>Wrote a comprehensive essay on patriotic duties during Independence Day events.</t>
  </si>
  <si>
    <t>Learned the imperative to perform noble deeds for India and refined essay prose.</t>
  </si>
  <si>
    <t>Created a festive tri-color rangoli pattern in the school entrance corridor.</t>
  </si>
  <si>
    <t>Learned visual symmetry, color blending, and collaborative artwork.</t>
  </si>
  <si>
    <t>Practiced traditional henna line designs and geometric circular mandalas.</t>
  </si>
  <si>
    <t>Cultivated fine hand control, consistent line thickness, and patience.</t>
  </si>
  <si>
    <t>Constructed a handcrafted Rakhi using silk threads, ribbons, and beads.</t>
  </si>
  <si>
    <t>Developed craft patience, material joining, and aesthetic balance.</t>
  </si>
  <si>
    <t>Painted a scenic visual tribute to Indian freedom fighters and martyrs.</t>
  </si>
  <si>
    <t>Improved portrait sketching, emotional facial depiction, and shading.</t>
  </si>
  <si>
    <t>Drafted an essay on the sacrifices of national heroes and modern youth duty.</t>
  </si>
  <si>
    <t>Cultivated expressive patriotic prose, rhetorical power, and cohesion.</t>
  </si>
  <si>
    <t>Participated in Bal Sansad assembly debates on school academic rules.</t>
  </si>
  <si>
    <t>Learned collaborative governance, parliamentary rules, and consensus.</t>
  </si>
  <si>
    <t>Designed a physics formula reference chart for classroom wall display.</t>
  </si>
  <si>
    <t>Learned concise technical formatting, formula grouping, and clear lettering.</t>
  </si>
  <si>
    <t>Delivered a speech on Science, Technology, and National Sovereignty.</t>
  </si>
  <si>
    <t>Conquered stage hesitation, improved posture, and spoke with confidence.</t>
  </si>
  <si>
    <t>Presented an oral story on ethical heroism and standing firm against injustice.</t>
  </si>
  <si>
    <t>Mastered captivating verbal delivery, moral clarity, and narrative pacing.</t>
  </si>
  <si>
    <t>Created an IEP poster advocating civic cleanliness, hygiene, and green habits.</t>
  </si>
  <si>
    <t>Learned graphical messaging, high-impact icons, and concise headlines.</t>
  </si>
  <si>
    <t>Participated in the orchestra rhythm section playing steady accompaniment.</t>
  </si>
  <si>
    <t>Cultivated disciplined ensemble harmony, tempo control, and unity.</t>
  </si>
  <si>
    <t>Authored a written article on technological innovation in rural farming sectors.</t>
  </si>
  <si>
    <t>Refined research writing, factual integration, and informative flow.</t>
  </si>
  <si>
    <t>Penned an original story on perseverance, invention, and scientific curiosity.</t>
  </si>
  <si>
    <t>Enhanced storytelling depth, suspenseful resolution, and character arcs.</t>
  </si>
  <si>
    <t>Attain 85%+ in UP Board Class 12 Examinations</t>
  </si>
  <si>
    <t>Qualify CUET &amp; Pursue Central University Degree</t>
  </si>
  <si>
    <t>Authored an essay on expanding educational opportunities for national growth.</t>
  </si>
  <si>
    <t>Learned structured thesis writing, logical flow, and persuasive arguments.</t>
  </si>
  <si>
    <t>Designed a bright geometric rangoli pattern with multi-colored powders.</t>
  </si>
  <si>
    <t>Learned symmetrical design balance, edge finishing, and artistic patience.</t>
  </si>
  <si>
    <t>Practiced traditional decorative henna patterns and intricate floral trails.</t>
  </si>
  <si>
    <t>Improved concentration, fine dexterity, and steady hand movements.</t>
  </si>
  <si>
    <t>Crafted a handmade Rakhi with vibrant silk threads, pearls, and sequins.</t>
  </si>
  <si>
    <t>Cultivated artistic crafting, delicate design assembly, and resourcefulness.</t>
  </si>
  <si>
    <t>Created a painting depicting environmental conservation and lush landscapes.</t>
  </si>
  <si>
    <t>Learned watercolor mixing techniques, brush layering, and perspective.</t>
  </si>
  <si>
    <t>Wrote an essay on the indispensable role of self-discipline in academic success.</t>
  </si>
  <si>
    <t>Refined argumentative sentence structure, moral reasoning, and vocabulary.</t>
  </si>
  <si>
    <t>Engaged in Bal Sansad student welfare committee organizing academic aids.</t>
  </si>
  <si>
    <t>Learned team collaboration, organizational logistics, and civic pride.</t>
  </si>
  <si>
    <t>Designed an educational chart explaining Indian geography and major river systems.</t>
  </si>
  <si>
    <t>Learned visual layout aesthetics, cartographic labeling, and clean typography.</t>
  </si>
  <si>
    <t>Delivered a speech on the importance of perseverance and goal tracking.</t>
  </si>
  <si>
    <t>Overcame platform fear, cultivated vocal modulation, and inspired peers.</t>
  </si>
  <si>
    <t>Narrated an inspirational story on friendship, teamwork, and shared success.</t>
  </si>
  <si>
    <t>Learned engaging voice pacing, expressive emotional tone, and connection.</t>
  </si>
  <si>
    <t>Designed a poster promoting mass tree plantation and water conservation.</t>
  </si>
  <si>
    <t>Learned impactful visual communication, color contrasting, and clarity.</t>
  </si>
  <si>
    <t>Accompanied the school music orchestra on rhythm cymbals and tambourine.</t>
  </si>
  <si>
    <t>Learned group timing, attentive listening, and rhythm coordination.</t>
  </si>
  <si>
    <t>Authored an article on modern digital learning tools transforming rural schools.</t>
  </si>
  <si>
    <t>Improved non-fiction composition, analytical reporting, and structure.</t>
  </si>
  <si>
    <t>Wrote a creative narrative about a dedicated student striving for academic excellence.</t>
  </si>
  <si>
    <t>Enhanced creative imagination, realistic dialogue, and character development.</t>
  </si>
  <si>
    <t>Score 80%+ across Board Exams and qualify entrance exams</t>
  </si>
  <si>
    <t>Higher Education in Commerce &amp; Banking</t>
  </si>
  <si>
    <t>Authored an essay on economic progress and industrialization.</t>
  </si>
  <si>
    <t>Learned thesis organization and objective analytical flow.</t>
  </si>
  <si>
    <t>Constructed geometric rangoli art for school reception.</t>
  </si>
  <si>
    <t>Learned color mixing, geometric measurement, and team coordination.</t>
  </si>
  <si>
    <t>Practiced floral henna motifs and circular patterns.</t>
  </si>
  <si>
    <t>Improved hand precision, manual control, and intricate artistic lines.</t>
  </si>
  <si>
    <t>Crafted a handmade Rakhi decorated with colorful beads and silk ribbon.</t>
  </si>
  <si>
    <t>Developed craft resourcefulness, artistic finishing, and patience.</t>
  </si>
  <si>
    <t>Drew a watercolor illustration of peaceful rural coexistence and nature.</t>
  </si>
  <si>
    <t>Enhanced color blending, soft transitions, and landscape drawing.</t>
  </si>
  <si>
    <t>Wrote an essay on the necessity of practical financial literacy for youth.</t>
  </si>
  <si>
    <t>Learned clear argumentation, real-world examples, and expository flow.</t>
  </si>
  <si>
    <t>Contributed to Bal Sansad student council logistics and event planning.</t>
  </si>
  <si>
    <t>Cultivated active cooperation, administrative assistance, and team duty.</t>
  </si>
  <si>
    <t>Created a commerce economics reference chart detailing trade and banking.</t>
  </si>
  <si>
    <t>Improved visual organization, flowcharts, and informative chart design.</t>
  </si>
  <si>
    <t>Delivered a speech on the spirit of entrepreneurship and innovation.</t>
  </si>
  <si>
    <t>Cultivated public speaking composure, confident diction, and audience focus.</t>
  </si>
  <si>
    <t>Narrated a traditional folk fable on honesty, fair trade, and hard work.</t>
  </si>
  <si>
    <t>Learned expressive tone control, vocal storytelling, and narrative humor.</t>
  </si>
  <si>
    <t>Designed an educational poster promoting environmental conservation and green habits.</t>
  </si>
  <si>
    <t>Mastered visual hierarchy, symbolic graphics, and impactful slogans.</t>
  </si>
  <si>
    <t>Participated in the orchestra rhythm section playing auxiliary percussion.</t>
  </si>
  <si>
    <t>Developed rhythm, acoustic synchronization, and group discipline.</t>
  </si>
  <si>
    <t>Authored an article on the revolutionary impact of digital UPI payments in India.</t>
  </si>
  <si>
    <t>Refined expository prose, market observation, and journalistic clarity.</t>
  </si>
  <si>
    <t>Wrote an original story about a resilient small-town trader adopting modern tools.</t>
  </si>
  <si>
    <t>Enhanced storytelling skills, authentic dialogue, and narrative resolution.</t>
  </si>
  <si>
    <t>Score 80%+ and establish a thorough conceptual foundation across subjects</t>
  </si>
  <si>
    <t>Higher Education in Commerce &amp; Business Management</t>
  </si>
  <si>
    <t>Authored an essay on economic development, banking access, and small businesses.</t>
  </si>
  <si>
    <t>Learned structured thesis writing, economic reasoning, and research synthesis.</t>
  </si>
  <si>
    <t>Constructed geometric rangoli art for the class reception and display board.</t>
  </si>
  <si>
    <t>Practiced traditional floral henna motifs and intricate circular medallions.</t>
  </si>
  <si>
    <t>Crafted a handmade Rakhi decorated with colorful beads, sequins, and satin ribbon.</t>
  </si>
  <si>
    <t>Drew a watercolor illustration of peaceful rural coexistence and agriculture.</t>
  </si>
  <si>
    <t>Created a commercial economics reference chart detailing markets and trade.</t>
  </si>
  <si>
    <t>Delivered a speech on the vibrant spirit of entrepreneurship and innovation.</t>
  </si>
  <si>
    <t>Attain 75%+ and clear national defense physical screening tests</t>
  </si>
  <si>
    <t>Qualify National Defence Academy (NDA) &amp; Serve as Army Officer</t>
  </si>
  <si>
    <t>Authored an essay on armed forces contribution to national integrity and peace.</t>
  </si>
  <si>
    <t>Developed deep patriotic awareness, concise argumentative style, and logic.</t>
  </si>
  <si>
    <t>Created a festive rangoli during Independence Day campus celebrations.</t>
  </si>
  <si>
    <t>Learned team cooperation, geometric alignment, and festive aesthetics.</t>
  </si>
  <si>
    <t>Drafted traditional henna line art and military-inspired geometric borders.</t>
  </si>
  <si>
    <t>Improved manual stability, hand grip focus, and neat line execution.</t>
  </si>
  <si>
    <t>Constructed a sturdy handcrafted Rakhi using tricolor ribbons and emblems.</t>
  </si>
  <si>
    <t>Cultivated craft dedication, patriotic symbolism, and neat assembly.</t>
  </si>
  <si>
    <t>Painted a scenic border patrol illustration featuring soldiers in mountain terrain.</t>
  </si>
  <si>
    <t>Learned dynamic composition, dramatic landscape shading, and realism.</t>
  </si>
  <si>
    <t>Wrote an essay on cultivating physical and mental toughness among youth.</t>
  </si>
  <si>
    <t>Improved logical argument flow, motivational rhetoric, and clarity.</t>
  </si>
  <si>
    <t>Served as sports and discipline coordinator in Bal Sansad governing bodies.</t>
  </si>
  <si>
    <t>Learned leadership under pressure, organizational command, and fair play.</t>
  </si>
  <si>
    <t>Designed a comprehensive chart on Indian Military Honors and Gallantry Awards.</t>
  </si>
  <si>
    <t>Mastered informative layout, insignia illustration, and historical data.</t>
  </si>
  <si>
    <t>Delivered a commanding speech on Selfless Courage, Duty, and Patriotism.</t>
  </si>
  <si>
    <t>Cultivated commanding voice modulation, platform assertiveness, and poise.</t>
  </si>
  <si>
    <t>Narrated a historic account of battlefield bravery and selfless sacrifice.</t>
  </si>
  <si>
    <t>Enhanced oral storytelling drama, solemn tone modulation, and clarity.</t>
  </si>
  <si>
    <t>Designed a poster promoting physical fitness, regular drill, and clean living.</t>
  </si>
  <si>
    <t>Learned bold poster typography, motivational slogans, and striking layouts.</t>
  </si>
  <si>
    <t>Participated in the school percussion marching band playing cadence drums.</t>
  </si>
  <si>
    <t>Cultivated disciplined rhythmic timing, marching cadence, and team order.</t>
  </si>
  <si>
    <t>Authored an article evaluating the importance of physical conditioning in schools.</t>
  </si>
  <si>
    <t>Refined clear non-fiction prose, empirical arguments, and structure.</t>
  </si>
  <si>
    <t>Penned a story of an aspiring cadet overcoming self-doubt to complete his mission.</t>
  </si>
  <si>
    <t>Developed character-driven fiction, authentic struggle, and inspiring resolution.</t>
  </si>
  <si>
    <t>Bachelor of Engineering (B.Tech) from a Premier Engineering College</t>
  </si>
  <si>
    <t>Wrote an essay exploring modern innovations and automation for nation building.</t>
  </si>
  <si>
    <t>Learned to experiment with new analytical perspectives, structure, and research.</t>
  </si>
  <si>
    <t>Created a vibrant geometric rangoli utilizing multi-colored chalk powders.</t>
  </si>
  <si>
    <t>Developed spatial awareness, geometric symmetry, and team division of tasks.</t>
  </si>
  <si>
    <t>Practiced intricate traditional henna designs with delicate floral netting.</t>
  </si>
  <si>
    <t>Cultivated fine hand precision, steady control, and intricate artistry.</t>
  </si>
  <si>
    <t>Handcrafted a decorative Rakhi with silk threads, pearls, and metallic cord.</t>
  </si>
  <si>
    <t>Cultivated artisanal craft assembly, material patience, and design flair.</t>
  </si>
  <si>
    <t>Painted a scenery depicting futuristic smart cities, solar grids, and clean rivers.</t>
  </si>
  <si>
    <t>Improved color harmony, perspective scaling, and imaginative concept design.</t>
  </si>
  <si>
    <t>Drafted an essay on the indispensable role of engineering in solving social problems.</t>
  </si>
  <si>
    <t>Enhanced logical rhetoric, technical vocabulary, and persuasive clarity.</t>
  </si>
  <si>
    <t>Participated in Bal Sansad academic discussions regarding lab facilities.</t>
  </si>
  <si>
    <t>Cultivated collective problem-solving, diplomatic debate, and student action.</t>
  </si>
  <si>
    <t>Designed a physics educational chart detailing wave optics and diffraction formulas.</t>
  </si>
  <si>
    <t>Improved schematic layout design, diagram precision, and technical lettering.</t>
  </si>
  <si>
    <t>Delivered a speech on Technological Innovations Shaping Modern India.</t>
  </si>
  <si>
    <t>Gained platform assertiveness, clear pronunciation, and audience rapport.</t>
  </si>
  <si>
    <t>Narrated an inspiring story on engineering resilience and learning from failure.</t>
  </si>
  <si>
    <t>Learned expressive voice dynamics, narrative suspense, and emotional delivery.</t>
  </si>
  <si>
    <t>Designed a poster advocating water conservation and rainwater harvesting.</t>
  </si>
  <si>
    <t>Learned impactful visual-text integration, color blocking, and typography.</t>
  </si>
  <si>
    <t>Participated in the instrumental music ensemble playing acoustic rhythm instruments.</t>
  </si>
  <si>
    <t>Learned musical timing, group harmony, and acoustic attentiveness.</t>
  </si>
  <si>
    <t>Authored an article examining the rise of robotics in healthcare and surgeries.</t>
  </si>
  <si>
    <t>Refined analytical documentation, structured inquiry, and formal prose.</t>
  </si>
  <si>
    <t>Wrote a creative story about an ambitious young inventor creating a low-cost filter.</t>
  </si>
  <si>
    <t>Enhanced narrative creativity, technical plot devices, and storytelling flow.</t>
  </si>
  <si>
    <t>Score 85%++ in Class 12 Board Examinations</t>
  </si>
  <si>
    <t>Engineering Degree from a Premier Indian Technical Institute</t>
  </si>
  <si>
    <t>Wrote an essay on raising citizen awareness toward developing India by 2047.</t>
  </si>
  <si>
    <t>Learned civic advocacy through structured prose and forward-looking visioning.</t>
  </si>
  <si>
    <t>Designed a colorful floral rangoli featuring natural marigold and rose petals.</t>
  </si>
  <si>
    <t>Developed spatial precision, organic color contrast, and design patience.</t>
  </si>
  <si>
    <t>Practiced traditional henna motifs and intricate floral vine patterns.</t>
  </si>
  <si>
    <t>Improved fine hand steadiness, smooth continuous strokes, and focus.</t>
  </si>
  <si>
    <t>Made a handcrafted Rakhi utilizing colorful craft paper, satin, and threads.</t>
  </si>
  <si>
    <t>Learned creative craft assembly, resourcefulness, and decorative joining.</t>
  </si>
  <si>
    <t>Created an artistic drawing celebrating nature preservation and lush forests.</t>
  </si>
  <si>
    <t>Cultivated expressive brushwork, watercolor bleeding techniques, and harmony.</t>
  </si>
  <si>
    <t>Authored an essay on the life, unification leadership, and vision of Sardar Patel.</t>
  </si>
  <si>
    <t>Gained profound historical insights, biographical rhetoric, and moral clarity.</t>
  </si>
  <si>
    <t>Assisted student welfare initiatives and academic peer groups in Bal Sansad.</t>
  </si>
  <si>
    <t>Learned team cooperation, organizational ethics, and peer representation.</t>
  </si>
  <si>
    <t>Designed a chart on Safe Environment and classroom beautification principles.</t>
  </si>
  <si>
    <t>Learned aesthetic presentation, environmental slogans, and layout design.</t>
  </si>
  <si>
    <t>Delivered a speech sharing positive moral values and personal integrity.</t>
  </si>
  <si>
    <t>Learned elocution confidence, precise diction, and vocal modulation.</t>
  </si>
  <si>
    <t>Presented a captivating story celebrating community unity and mutual trust.</t>
  </si>
  <si>
    <t>Learned storytelling dynamics, dramatic tension, and emotional connection.</t>
  </si>
  <si>
    <t>Designed an informative poster on ecological protection and plastic bans.</t>
  </si>
  <si>
    <t>Learned graphic layout design, bold warning fonts, and visual focal cues.</t>
  </si>
  <si>
    <t>Supported rhythm accompaniment in the school orchestra playing hand percussion.</t>
  </si>
  <si>
    <t>Cultivated disciplined ensemble timing, attentive listening, and team harmony.</t>
  </si>
  <si>
    <t>Wrote a structured article discussing different forms and styles of journalism.</t>
  </si>
  <si>
    <t>Refined expository prose, genre classification, and analytical clarity.</t>
  </si>
  <si>
    <t>Authored a fresh original story exploring human perseverance during challenges.</t>
  </si>
  <si>
    <t>Enhanced narrative creativity, dynamic dialogue, and satisfying endings.</t>
  </si>
  <si>
    <t>Qualify CUET &amp; Enter a Prestigious Central University</t>
  </si>
  <si>
    <t>Researched and wrote an extensive essay on youth roles in national development.</t>
  </si>
  <si>
    <t>Enhanced analytical writing, library research capabilities, and logical flow.</t>
  </si>
  <si>
    <t>Designed a commemorative rangoli honoring Sardar Vallabhbhai Patel's birth anniversary.</t>
  </si>
  <si>
    <t>Learned commemorative artistry, portrait symmetry, and color blending.</t>
  </si>
  <si>
    <t>Practiced creative mehndi patterns and traditional Indian peacock motifs.</t>
  </si>
  <si>
    <t>Learned design application, patience, symmetrical layout, and steady grip.</t>
  </si>
  <si>
    <t>Created a handcrafted Rakhi through collaborative effort with fellow classmates.</t>
  </si>
  <si>
    <t>Experienced collective artistic joy, teamwork, and material craft finishing.</t>
  </si>
  <si>
    <t>Designed a creative poster artwork depicting cultural heritage and monuments.</t>
  </si>
  <si>
    <t>Learned balance, design composition, vibrant coloring, and cultural pride.</t>
  </si>
  <si>
    <t>Drafted an essay on the iron will and unification achievements of Sardar Patel.</t>
  </si>
  <si>
    <t>Learned biographical prose structuring, historical analysis, and eloquence.</t>
  </si>
  <si>
    <t>Engaged in Bal Sansad discussions on student discipline and campus etiquette.</t>
  </si>
  <si>
    <t>Cultivated team collaboration, democratic participation, and responsibility.</t>
  </si>
  <si>
    <t>Created an educational chart on constitutional rights and fundamental duties.</t>
  </si>
  <si>
    <t>Improved visual clarity, legal flowcharts, and informative design aesthetics.</t>
  </si>
  <si>
    <t>Delivered a speech on National Integration and Cultural Diversity in India.</t>
  </si>
  <si>
    <t>Gained public speaking composure, confident posture, and clear articulation.</t>
  </si>
  <si>
    <t>Narrated an inspiring story of social unity and resilience through hard times.</t>
  </si>
  <si>
    <t>Learned expressive storytelling, voice modulation, and listener rapport.</t>
  </si>
  <si>
    <t>Designed a poster promoting communal harmony and mutual respect in schools.</t>
  </si>
  <si>
    <t>Mastered visual hierarchy, clean border framing, and slogan placement.</t>
  </si>
  <si>
    <t>Participated in the orchestra rhythm section playing steady auxiliary beats.</t>
  </si>
  <si>
    <t>Developed rhythm, acoustic synchronization, and musical group teamwork.</t>
  </si>
  <si>
    <t>Authored an article on youth participation in local grassroots nation-building.</t>
  </si>
  <si>
    <t>Refined journalistic composition, community focus, and persuasive clarity.</t>
  </si>
  <si>
    <t>Wrote an original story about overcoming adversity through steadfast friendship.</t>
  </si>
  <si>
    <t>Broadened creative storytelling skills, narrative progression, and warmth.</t>
  </si>
  <si>
    <t>Score 85%+ in UP Board Science Stream</t>
  </si>
  <si>
    <t>Bachelor of Science (B.Sc) / Technical Education</t>
  </si>
  <si>
    <t>Authored an essay on scientific inventions transforming everyday life.</t>
  </si>
  <si>
    <t>Learned structured essay organization and factual research.</t>
  </si>
  <si>
    <t>Sketched a rural landscape depicting green fields and sunrise.</t>
  </si>
  <si>
    <t>Wrote an essay on the importance of discipline in student life.</t>
  </si>
  <si>
    <t>Created an educational chart on human physiology and major organs.</t>
  </si>
  <si>
    <t>Delivered a speech on the Importance of Time Management.</t>
  </si>
  <si>
    <t>Narrated a traditional folklore story on honesty and wisdom.</t>
  </si>
  <si>
    <t>Designed a poster on tree plantation and ecological balance.</t>
  </si>
  <si>
    <t>Authored an article on renewable solar energy in rural schools.</t>
  </si>
  <si>
    <t>Wrote a creative story about a young student solving a local farm problem.</t>
  </si>
  <si>
    <t>Strengthen core concepts in all subjects, score 90%+ in Boards &amp; excel in practicals</t>
  </si>
  <si>
    <t>Higher education in Science to become Engineer / Doctor / Researcher contributing to innovation</t>
  </si>
  <si>
    <t>Wrote a profound essay on 'Building a Developed India by 2047' covering youth roles and tech.</t>
  </si>
  <si>
    <t>Reflected deeply on civic duties, education, technological progress, and systematic analytical prose.</t>
  </si>
  <si>
    <t>Designed a symmetrical geometric rangoli using harmonious contrasting colors.</t>
  </si>
  <si>
    <t>Cultivated aesthetic balance, mathematical precision, and team harmony.</t>
  </si>
  <si>
    <t>Practiced intricate decorative henna designs with complex geometric netting.</t>
  </si>
  <si>
    <t>Enhanced manual dexterity, focus, delicate line weight, and patience.</t>
  </si>
  <si>
    <t>Handcrafted a decorative eco-Rakhi using natural silk threads and seeds.</t>
  </si>
  <si>
    <t>Learned creative hand craftsmanship, sustainable design, and assembly.</t>
  </si>
  <si>
    <t>Painted a visual depiction of technological innovation powering a green India.</t>
  </si>
  <si>
    <t>Learned thematic color palettes, symbolic visual metaphors, and shading.</t>
  </si>
  <si>
    <t>Authored a comprehensive essay on the role of scientific research in national growth.</t>
  </si>
  <si>
    <t>Strengthened academic exposition, formal referencing, and persuasive rhetoric.</t>
  </si>
  <si>
    <t>Actively contributed as academic mentor and debates leader in Bal Sansad.</t>
  </si>
  <si>
    <t>Learned leadership, collective delegation, parliamentary procedure, and duty.</t>
  </si>
  <si>
    <t>Designed physics and chemistry formula charts for classroom reference walls.</t>
  </si>
  <si>
    <t>Learned concise knowledge design, mnemonic typography, and visual clarity.</t>
  </si>
  <si>
    <t>Delivered a persuasive speech on Scientific Temper, Rationality, and Society.</t>
  </si>
  <si>
    <t>Gained authoritative oratorical confidence, stage presence, and eloquence.</t>
  </si>
  <si>
    <t>Narrated an inspiring story on persistence and eureka moments in scientific history.</t>
  </si>
  <si>
    <t>Learned expressive communication, suspenseful hooks, and intellectual passion.</t>
  </si>
  <si>
    <t>Designed an IEP poster on technological sustainability and renewable resources.</t>
  </si>
  <si>
    <t>Mastered visual hierarchy, concise copy, high-impact icons, and neat layouts.</t>
  </si>
  <si>
    <t>Participated in the orchestra rhythm section coordinating tempo and dynamics.</t>
  </si>
  <si>
    <t>Developed rhythm, acoustic synchronization, active listening, and teamwork.</t>
  </si>
  <si>
    <t>Authored an article on emerging quantum technologies and supercomputing in India.</t>
  </si>
  <si>
    <t>Refined scientific journalism, complex topic simplification, and clarity.</t>
  </si>
  <si>
    <t>Wrote a speculative fiction tale about a young scientist solving water shortages.</t>
  </si>
  <si>
    <t>Enhanced creative storytelling, realistic scientific fiction, and story pacing.</t>
  </si>
  <si>
    <t>Improve mastery in key academic subjects and score 85%+ in Boards</t>
  </si>
  <si>
    <t>Crack CUET &amp; Enter a Renowned Central University</t>
  </si>
  <si>
    <t>Authored a detailed essay on education, vocational skills, and women's empowerment.</t>
  </si>
  <si>
    <t>Learned structured composition, paragraph transitions, and persuasive logic.</t>
  </si>
  <si>
    <t>Designed a colorful floral rangoli for the school cultural festival reception.</t>
  </si>
  <si>
    <t>Developed spatial planning, design geometry, and cooperative art creation.</t>
  </si>
  <si>
    <t>Practiced intricate henna patterns and delicate traditional circular motifs.</t>
  </si>
  <si>
    <t>Enhanced delicate finger control, line continuity, and pattern symmetry.</t>
  </si>
  <si>
    <t>Crafted a handmade Rakhi with colorful woolen yarn, beads, and pearl accents.</t>
  </si>
  <si>
    <t>Cultivated artisanal craft assembly, resourcefulness, and decorative care.</t>
  </si>
  <si>
    <t>Painted a landscape celebrating environmental beauty, rivers, and flora.</t>
  </si>
  <si>
    <t>Learned smooth color mixing, horizon perspective, and watercolor washes.</t>
  </si>
  <si>
    <t>Composed a descriptive essay with a deep focus on refining handwriting and grammar.</t>
  </si>
  <si>
    <t>Substantially polished writing skills, calligraphy legibility, and flow.</t>
  </si>
  <si>
    <t>Participated actively in Bal Sansad class governance and student welfare.</t>
  </si>
  <si>
    <t>Learned teamwork, democratic discussion, and public service ethics.</t>
  </si>
  <si>
    <t>Designed a language grammar and composition chart for the classroom wall.</t>
  </si>
  <si>
    <t>Learned visual infographic layout, clean typography, and rule indexing.</t>
  </si>
  <si>
    <t>Delivered a speech on the Transformative Power of Education for Girls.</t>
  </si>
  <si>
    <t>Conquered stage hesitation, cultivated inspiring diction, and poise.</t>
  </si>
  <si>
    <t>Narrated an inspiring story of academic determination against all odds.</t>
  </si>
  <si>
    <t>Learned audience engagement, emotional resonance, and narrative focus.</t>
  </si>
  <si>
    <t>Designed a poster promoting girl child education and equal opportunities.</t>
  </si>
  <si>
    <t>Mastered visual focal points, uplifting color palettes, and bold headlines.</t>
  </si>
  <si>
    <t>Developed rhythm, acoustic synchronization, and collaborative focus.</t>
  </si>
  <si>
    <t>Authored a written article on inspiring women icons in modern Indian history.</t>
  </si>
  <si>
    <t>Refined factual reporting, biographical analysis, and structured prose.</t>
  </si>
  <si>
    <t>Composed a thoughtful creative story on making moral choices during challenges.</t>
  </si>
  <si>
    <t>Enhanced storytelling capabilities, emotional depth, and moral resolution.</t>
  </si>
  <si>
    <t>Significantly strengthen Chemistry concepts and score 88%+ in Boards</t>
  </si>
  <si>
    <t>Pursue Bachelor of Engineering (B.Tech) in Chemical / Allied Disciplines</t>
  </si>
  <si>
    <t>Composed an essay on India's technological leap in renewable fuels and green energy.</t>
  </si>
  <si>
    <t>Learned research-backed analytical writing, energy policy review, and clarity.</t>
  </si>
  <si>
    <t>Co-created a colorful rangoli using organic petals and dry mineral pigments.</t>
  </si>
  <si>
    <t>Learned symmetrical layout, color theory, and enthusiastic team synergy.</t>
  </si>
  <si>
    <t>Drafted traditional festive mehndi patterns with delicate circular lace lines.</t>
  </si>
  <si>
    <t>Developed steady hand dexterity, intricate design planning, and patience.</t>
  </si>
  <si>
    <t>Created a Rakhi using threads and diverse fabric scraps from tailor shops.</t>
  </si>
  <si>
    <t>Learned that Rakhi is a sacred symbol of affection, resourcefulness, and culture.</t>
  </si>
  <si>
    <t>Painted an inspiring portrait of Sardar Vallabhbhai Patel using water colors.</t>
  </si>
  <si>
    <t>Learned to live life doing inspiring deeds that leave a lasting legacy for all.</t>
  </si>
  <si>
    <t>Authored an essay on the National Census and demographic resource planning.</t>
  </si>
  <si>
    <t>Learned how to write impactful essays that spread awareness and vital knowledge.</t>
  </si>
  <si>
    <t>Actively contributed to Bal Sansad student debates representing academic clubs.</t>
  </si>
  <si>
    <t>Cultivated leadership, cooperative responsibility, and articulate reasoning.</t>
  </si>
  <si>
    <t>Created subject posters and inspirational portraits of great historical leaders.</t>
  </si>
  <si>
    <t>Learned how positive, aesthetic classroom environments increase study focus.</t>
  </si>
  <si>
    <t>Delivered an inspiring speech titled 'Life' focusing on optimism through struggle.</t>
  </si>
  <si>
    <t>Learned that one must never fear hardship because every challenge sparks growth.</t>
  </si>
  <si>
    <t>Narrated a poignant story on moral fortitude, sisterhood, and mutual trust.</t>
  </si>
  <si>
    <t>Learned expressive pitch modulation, dynamic vocal delivery, and warmth.</t>
  </si>
  <si>
    <t>Designed an educational poster promoting mental well-being and meditation.</t>
  </si>
  <si>
    <t>Learned balance between calming colors, minimal imagery, and reassuring copy.</t>
  </si>
  <si>
    <t>Participated in the orchestra rhythm section playing steady acoustic beats.</t>
  </si>
  <si>
    <t>Authored an article on green chemistry solutions for reducing plastic pollution.</t>
  </si>
  <si>
    <t>Learned structured expository writing, ecological science, and clarity.</t>
  </si>
  <si>
    <t>Wrote a creative narrative about an aspiring young woman scientist in a laboratory.</t>
  </si>
  <si>
    <t>Enhanced imaginative plotting, realistic scientific dialogue, and character arcs.</t>
  </si>
  <si>
    <t>Participated in national essay writing exploring youth contributions to society.</t>
  </si>
  <si>
    <t>Explored rich concepts of civic contribution, thesis development, and editing.</t>
  </si>
  <si>
    <t>Created a beautiful, colorful rangoli design for the school assembly foyer.</t>
  </si>
  <si>
    <t>Learned color harmonization, patience, visual framing, and spatial symmetry.</t>
  </si>
  <si>
    <t>Applied festive mehndi artwork featuring intricate traditional patterns.</t>
  </si>
  <si>
    <t>Mastered intricate design flow, steady manual handling, and neat finishing.</t>
  </si>
  <si>
    <t>Handcrafted a decorative Rakhi with silk threads, pearls, and golden cord.</t>
  </si>
  <si>
    <t>Learned creative craft making, resourcefulness, and decorative joining.</t>
  </si>
  <si>
    <t>Created a creative celebratory cake and party drawing using watercolor pencils.</t>
  </si>
  <si>
    <t>Learned artistic composition, bright color balance, and creative expression.</t>
  </si>
  <si>
    <t>Authored an essay on building moral character and integrity in modern life.</t>
  </si>
  <si>
    <t>Learned how to structure, develop, and write impactful formal essays.</t>
  </si>
  <si>
    <t>Assisted student welfare initiatives and event coordination in Bal Sansad.</t>
  </si>
  <si>
    <t>Learned team cooperation, peer support, and organizational discipline.</t>
  </si>
  <si>
    <t>Decorated the classroom and arranged subject charts systematically.</t>
  </si>
  <si>
    <t>Learned practical methods of artistic classroom decoration and ambiance design.</t>
  </si>
  <si>
    <t>Delivered a speech on the importance of regular exercise and physical fitness.</t>
  </si>
  <si>
    <t>Built platform poise, confident posture, and clear vocal articulation.</t>
  </si>
  <si>
    <t>Narrated an inspiring story on honesty, truthfulness, and character strength.</t>
  </si>
  <si>
    <t>Learned audience engagement, voice pacing, and expressive storytelling.</t>
  </si>
  <si>
    <t>Designed an educational poster promoting mass tree plantation and clean air.</t>
  </si>
  <si>
    <t>Learned impactful visual communication, vivid green palettes, and taglines.</t>
  </si>
  <si>
    <t>Participated in the orchestra rhythm section playing auxiliary instruments.</t>
  </si>
  <si>
    <t>Developed rhythm, acoustic synchronization, and performance teamwork.</t>
  </si>
  <si>
    <t>Wrote an article evaluating social media effects on teenage focus and habits.</t>
  </si>
  <si>
    <t>Learned structured article composition, objective critique, and clarity.</t>
  </si>
  <si>
    <t>Wrote a creative narrative about teamwork and mutual loyalty during a school project.</t>
  </si>
  <si>
    <t>Enhanced narrative writing skills, cheerful characterization, and plot unity.</t>
  </si>
  <si>
    <t>Authored an essay on youth leadership and civic duties in modern nation building.</t>
  </si>
  <si>
    <t>Learned structured thesis composition, objective arguments, and formal tone.</t>
  </si>
  <si>
    <t>Collaborated on campus rangoli for the annual cultural festival exhibition.</t>
  </si>
  <si>
    <t>Practiced traditional henna motifs and intricate floral vine borders.</t>
  </si>
  <si>
    <t>Improved concentration, hand stability, and intricate line drawing.</t>
  </si>
  <si>
    <t>Crafted an elegant Peacock-Feather (Mor Pankh) themed Rakhi with fine silk.</t>
  </si>
  <si>
    <t>Learned creative design execution smoothly without hurdles or material loss.</t>
  </si>
  <si>
    <t>Created a detailed watercolor drawing showcasing Indian wildlife and forests.</t>
  </si>
  <si>
    <t>Improved color blending, natural landscape detailing, and brush control.</t>
  </si>
  <si>
    <t>Authored a comprehensive essay on road safety rules and youth traffic awareness.</t>
  </si>
  <si>
    <t>Developed persuasive civic communication, safety ethics, and clear exposition.</t>
  </si>
  <si>
    <t>Engaged in Bal Sansad student welfare committee planning and logistics.</t>
  </si>
  <si>
    <t>Learned team collaboration, public safety advocacy, and responsibility.</t>
  </si>
  <si>
    <t>Designed a classroom educational chart on road safety guidelines and signals.</t>
  </si>
  <si>
    <t>Learned impactful information display, symbol recognition, and chart layout.</t>
  </si>
  <si>
    <t>Delivered a speech on the vital importance of traffic discipline and helmet use.</t>
  </si>
  <si>
    <t>Gained public speaking composure, factual clarity, and persuasive diction.</t>
  </si>
  <si>
    <t>Narrated an inspiring story on empathy, community aid, and good samaritan deeds.</t>
  </si>
  <si>
    <t>Learned expressive storytelling, moral emphasis, and listener connection.</t>
  </si>
  <si>
    <t>Designed an educational poster promoting safe driving, seatbelts, and alertness.</t>
  </si>
  <si>
    <t>Mastered visual warning hierarchy, bold typography, and impactful slogans.</t>
  </si>
  <si>
    <t>Participated in the orchestra rhythm section coordinating auxiliary beats.</t>
  </si>
  <si>
    <t>Developed rhythm, acoustic synchronization, and musical team discipline.</t>
  </si>
  <si>
    <t>Authored an article on pedestrian safety and smart traffic systems in cities.</t>
  </si>
  <si>
    <t>Refined research journalism, urban safety analysis, and structured reporting.</t>
  </si>
  <si>
    <t>Penned a short story about a good samaritan saving an injured commuter on a highway.</t>
  </si>
  <si>
    <t>Developed character-driven narrative skills, emotional pacing, and suspense.</t>
  </si>
  <si>
    <t>Attain 80%+ in Class 12 Board Examinations</t>
  </si>
  <si>
    <t>Higher Education in Science / Humanities Disciplines</t>
  </si>
  <si>
    <t>Participated in the national essay competition on building a self-reliant India.</t>
  </si>
  <si>
    <t>Learned immense lessons regarding structured self-expression, research, and flow.</t>
  </si>
  <si>
    <t>Contributed to festive rangoli arrangement during national celebrations.</t>
  </si>
  <si>
    <t>Learned spatial balance, teamwork, color selection, and decorative harmony.</t>
  </si>
  <si>
    <t>Applied delicate decorative mehndi patterns with floral and leaf flourishes.</t>
  </si>
  <si>
    <t>Cultivated fine motor coordination, hand steadiness, and intricate focus.</t>
  </si>
  <si>
    <t>Crafted a handmade Rakhi using colorful ribbons, glass beads, and embroidery floss.</t>
  </si>
  <si>
    <t>Learned creative patience, artisanal craft assembly, and material thrift.</t>
  </si>
  <si>
    <t>Created an artistic drawing on nature preservation, mountain streams, and trees.</t>
  </si>
  <si>
    <t>Cultivated expressive brushwork, color harmony, and creative visual balance.</t>
  </si>
  <si>
    <t>Wrote an essay on women's contribution to modern Indian socio-economic growth.</t>
  </si>
  <si>
    <t>Refined written expression, feminist historical awareness, and paragraph unity.</t>
  </si>
  <si>
    <t>Participated in Bal Sansad assembly meetings discussing student facility needs.</t>
  </si>
  <si>
    <t>Learned cooperative leadership, parliamentary debate, and active listening.</t>
  </si>
  <si>
    <t>Prepared an educational chart on fundamental science and chemistry equations.</t>
  </si>
  <si>
    <t>Learned clear layout design, formula indexing, and aesthetic chart design.</t>
  </si>
  <si>
    <t>Delivered a speech on the lifelong benefits of regular exercise and clean sports.</t>
  </si>
  <si>
    <t>Built platform poise, confident eye contact, and clear vocal delivery.</t>
  </si>
  <si>
    <t>Presented a captivating story on community unity during an unprecedented crisis.</t>
  </si>
  <si>
    <t>Learned storytelling dynamics, dramatic tension, and authentic emotion.</t>
  </si>
  <si>
    <t>Designed an educational poster promoting mass tree plantation and water saving.</t>
  </si>
  <si>
    <t>Learned impactful visual communication, contrasting colors, and clean slogans.</t>
  </si>
  <si>
    <t>Participated in the orchestra rhythm section playing hand percussion instruments.</t>
  </si>
  <si>
    <t>Developed rhythm, acoustic synchronization, and musical collaboration.</t>
  </si>
  <si>
    <t>Authored an article on digital learning tools assisting secondary school students.</t>
  </si>
  <si>
    <t>Improved non-fiction composition, tech literacy insights, and clarity.</t>
  </si>
  <si>
    <t>Wrote a creative narrative about teamwork and persistence in sports competitions.</t>
  </si>
  <si>
    <t>Enhanced narrative writing skills, dialogue authenticity, and plot pacing.</t>
  </si>
  <si>
    <t>Score 88%+ in Class 12 Boards</t>
  </si>
  <si>
    <t>B.Sc in Nursing / Medical Sciences</t>
  </si>
  <si>
    <t>Wrote an essay on public healthcare infrastructure and rural health services.</t>
  </si>
  <si>
    <t>Learned data integration, formal medical prose, and public policy analysis.</t>
  </si>
  <si>
    <t>Created a floral rangoli using dry natural colors and fresh flower petals.</t>
  </si>
  <si>
    <t>Learned color harmony, concentric geometry, and spatial design balance.</t>
  </si>
  <si>
    <t>Practiced traditional henna motifs and delicate curved border flourishes.</t>
  </si>
  <si>
    <t>Improved concentration, fine motor dexterity, and steady line control.</t>
  </si>
  <si>
    <t>Cultivated artisanal craft assembly, material patience, and neat finishing.</t>
  </si>
  <si>
    <t>Painted a scenic botanical garden featuring various traditional medicinal herbs.</t>
  </si>
  <si>
    <t>Improved botanical illustration, delicate shading, and realistic watercolor hues.</t>
  </si>
  <si>
    <t>Drafted an essay on the importance of mental healthcare and counseling in youth.</t>
  </si>
  <si>
    <t>Strengthened persuasive writing, empathetic reasoning, and objective evidence.</t>
  </si>
  <si>
    <t>Served as health and hygiene minister in Bal Sansad governing sessions.</t>
  </si>
  <si>
    <t>Learned community hygiene management, first-aid protocols, and peer welfare.</t>
  </si>
  <si>
    <t>Designed an educational chart illustrating the human circulatory system in color.</t>
  </si>
  <si>
    <t>Learned anatomical sketching, organ labeling, and instructional layouts.</t>
  </si>
  <si>
    <t>Delivered a speech on Everyday Hygiene and Preventive Healthcare Habits.</t>
  </si>
  <si>
    <t>Built platform confidence, medical awareness communication, and poise.</t>
  </si>
  <si>
    <t>Narrated a heartwarming story about compassion, empathy, and medical service.</t>
  </si>
  <si>
    <t>Learned emotional storytelling, authentic bedside empathy, and delivery.</t>
  </si>
  <si>
    <t>Designed an educational poster on seasonal disease prevention and mosquito control.</t>
  </si>
  <si>
    <t>Learned graphic health communication, alert typography, and clear visual cues.</t>
  </si>
  <si>
    <t>Learned rhythm balance, active listening, and acoustic synchronization.</t>
  </si>
  <si>
    <t>Authored an article evaluating nutritious diet habits among secondary school youth.</t>
  </si>
  <si>
    <t>Refined expository prose, nutritional data interpretation, and clarity.</t>
  </si>
  <si>
    <t>Wrote a story about a dedicated frontline nurse overcoming pandemic challenges.</t>
  </si>
  <si>
    <t>Developed vivid character depiction, emotional heroism, and narrative depth.</t>
  </si>
  <si>
    <t>Bachelor of Engineering (B.Tech) from a Reputed University</t>
  </si>
  <si>
    <t>Authored an essay on strategic technological roadmaps for developing India.</t>
  </si>
  <si>
    <t>Learned analytical writing techniques, outline organization, and thesis clarity.</t>
  </si>
  <si>
    <t>Designed a colorful floral rangoli featuring symmetrical concentric rings.</t>
  </si>
  <si>
    <t>Developed spatial planning, design geometry, and cooperative teamwork.</t>
  </si>
  <si>
    <t>Practiced intricate henna hand designs with traditional lace patterns and paisleys.</t>
  </si>
  <si>
    <t>Developed fine motor control, manual steadiness, and delicate line work.</t>
  </si>
  <si>
    <t>Constructed a three-dimensional handcrafted Rakhi craft model using craft paper.</t>
  </si>
  <si>
    <t>Learned intricate Rakhi making techniques, spatial papercraft, and finishing.</t>
  </si>
  <si>
    <t>Created an artistic model and watercolor drawing illustrating scientific ideas.</t>
  </si>
  <si>
    <t>Mastered innovative sketching, color blending, and conceptual visual art.</t>
  </si>
  <si>
    <t>Wrote a comprehensive essay on the transformative role of science in education.</t>
  </si>
  <si>
    <t>Learned structured essay writing methodologies, formal tone, and evidence.</t>
  </si>
  <si>
    <t>Supported peer council initiatives and class welfare committees in Bal Sansad.</t>
  </si>
  <si>
    <t>Built an educational model chart for classroom beautification and learning.</t>
  </si>
  <si>
    <t>Learned creative classroom decoration, aesthetic balance, and typography.</t>
  </si>
  <si>
    <t>Delivered a speech on the indispensable value of regular physical fitness.</t>
  </si>
  <si>
    <t>Built platform poise, confident vocal projection, and audience rapport.</t>
  </si>
  <si>
    <t>Narrated an inspirational story on friendship, mutual loyalty, and hard work.</t>
  </si>
  <si>
    <t>Learned engaging voice pacing, moral narrative delivery, and connection.</t>
  </si>
  <si>
    <t>Designed an educational poster promoting tree plantation and plastic elimination.</t>
  </si>
  <si>
    <t>Learned impactful visual communication, green color palettes, and slogans.</t>
  </si>
  <si>
    <t>Participated in the orchestra rhythm section playing auxiliary percussion instruments.</t>
  </si>
  <si>
    <t>Developed rhythm, acoustic synchronization, and group musical discipline.</t>
  </si>
  <si>
    <t>Authored a written article on technological innovation in rural farming machinery.</t>
  </si>
  <si>
    <t>Refined research writing, technical summarization, and informative prose.</t>
  </si>
  <si>
    <t>Score 85%+ in UP Board Exams</t>
  </si>
  <si>
    <t>B.Sc in Chemistry &amp; Research Degree</t>
  </si>
  <si>
    <t>Wrote an essay on scientific advancement and laboratory research in modern India.</t>
  </si>
  <si>
    <t>Learned structured academic exposition, literature research, and formal tone.</t>
  </si>
  <si>
    <t>Designed a colorful floral rangoli for the school academic festival reception.</t>
  </si>
  <si>
    <t>Developed spatial planning, design geometry, and cooperative execution.</t>
  </si>
  <si>
    <t>Crafted a handmade Rakhi with silk ribbons, pearls, and decorative cord.</t>
  </si>
  <si>
    <t>Painted a scenic landscape celebrating nature, flowing rivers, and flora.</t>
  </si>
  <si>
    <t>Authored an essay on the importance of national unity and diversity in India.</t>
  </si>
  <si>
    <t>Designed a chemistry chart illustrating periodic trends and atomic structures.</t>
  </si>
  <si>
    <t>Learned clear visual formatting, atomic diagramming, and reference layout.</t>
  </si>
  <si>
    <t>Delivered a speech on the Indispensable Role of Science in Daily Human Life.</t>
  </si>
  <si>
    <t>Conquered stage hesitation, improved scientific diction, and spoke clearly.</t>
  </si>
  <si>
    <t>Narrated an inspiring story on perseverance, wisdom, and selfless discovery.</t>
  </si>
  <si>
    <t>Authored an article evaluating clean drinking water access in rural schools.</t>
  </si>
  <si>
    <t>Refined expository writing, environmental chemistry data, and clarity.</t>
  </si>
  <si>
    <t>Wrote a creative story about a village girl who invented a low-cost water filter.</t>
  </si>
  <si>
    <t>Boosted storytelling skills, scientific problem-solving plots, and warmth.</t>
  </si>
  <si>
    <t>Attain 82%+ in Science Stream Board Examinations</t>
  </si>
  <si>
    <t>Higher Education in Agriculture Science &amp; Agronomy</t>
  </si>
  <si>
    <t>Wrote an essay on sustainable agricultural technologies and soil conservation.</t>
  </si>
  <si>
    <t>Learned analytical research synthesis, agronomic principles, and formal prose.</t>
  </si>
  <si>
    <t>Designed a geometric colorful rangoli utilizing dry powders and organic petals.</t>
  </si>
  <si>
    <t>Painted a landscape showing sustainable modern farming, canals, and green crops.</t>
  </si>
  <si>
    <t>Improved perspective drawing, crop rendering, and natural earth tones.</t>
  </si>
  <si>
    <t>Authored an essay on soil preservation, organic composting, and crop rotation.</t>
  </si>
  <si>
    <t>Learned structured environmental rhetoric, scientific farming data, and logic.</t>
  </si>
  <si>
    <t>Prepared an educational chart on plant physiology and photosynthesis cycles.</t>
  </si>
  <si>
    <t>Delivered a speech on Sustainable Farming and Agro-Tech for the Future.</t>
  </si>
  <si>
    <t>Narrated an inspiring story about agricultural perseverance and farmer resilience.</t>
  </si>
  <si>
    <t>Learned expressive storytelling, rural cultural authenticity, and delivery.</t>
  </si>
  <si>
    <t>Designed a poster promoting water conservation in irrigation and drip systems.</t>
  </si>
  <si>
    <t>Mastered visual layout design, conservation slogans, and clear diagramming.</t>
  </si>
  <si>
    <t>Authored an article on organic cultivation methods and bio-fertilizer usage.</t>
  </si>
  <si>
    <t>Refined research journalism, ecological agriculture review, and clarity.</t>
  </si>
  <si>
    <t>Composed a creative fiction story on social resilience and community farming.</t>
  </si>
  <si>
    <t>Enhanced imaginative writing, rural characterization, and plot flow.</t>
  </si>
  <si>
    <t>Score 86%+ in Class 12 Board Examinations</t>
  </si>
  <si>
    <t>B.Des / Commercial Arts Degree from a Design Institute</t>
  </si>
  <si>
    <t>Authored an essay on Indian folk arts, handlooms, and the cultural creative economy.</t>
  </si>
  <si>
    <t>Learned creative exposition, cultural research, and aesthetic reasoning.</t>
  </si>
  <si>
    <t>Designed an intricate folk rangoli with vivid mineral colors and tribal motifs.</t>
  </si>
  <si>
    <t>Learned advanced spatial symmetry, folk design theory, and color harmony.</t>
  </si>
  <si>
    <t>Drafted ornate Rajasthani bridal henna patterns with intricate lace and peacocks.</t>
  </si>
  <si>
    <t>Mastered delicate line weight, continuous fluid strokes, and artistic focus.</t>
  </si>
  <si>
    <t>Crafted a handcrafted Rakhi using silk ribbons, mirrors, and embroidered accents.</t>
  </si>
  <si>
    <t>Learned fine craft assembly, textile joining, and artisanal elegance.</t>
  </si>
  <si>
    <t>Created a vibrant canvas painting celebrating classical Indian folk dance forms.</t>
  </si>
  <si>
    <t>Learned advanced color harmonization, dynamic human anatomy, and movement.</t>
  </si>
  <si>
    <t>Drafted an essay on preserving traditional indigenous crafts through digital retail.</t>
  </si>
  <si>
    <t>Improved persuasive reasoning, cultural preservation arguments, and clarity.</t>
  </si>
  <si>
    <t>Served as cultural secretary in Bal Sansad organizing school arts exhibitions.</t>
  </si>
  <si>
    <t>Learned event coordination, artistic direction, curation, and team leadership.</t>
  </si>
  <si>
    <t>Designed a visual art and design reference chart detailing color wheel theories.</t>
  </si>
  <si>
    <t>Learned aesthetic typography, color wheel illustration, and graphic balance.</t>
  </si>
  <si>
    <t>Delivered a speech on the Importance of Fine Arts and Creativity in Modern Society.</t>
  </si>
  <si>
    <t>Conquered stage hesitation, cultivated artistic eloquence, and platform poise.</t>
  </si>
  <si>
    <t>Narrated a folklore story celebrating royal artisans and master craft traditions.</t>
  </si>
  <si>
    <t>Enhanced dramatic storytelling, historical atmosphere, and emotional delivery.</t>
  </si>
  <si>
    <t>Designed an educational poster promoting handloom conservation and artisan support.</t>
  </si>
  <si>
    <t>Learned graphic focal points, textile-inspired borders, and typography.</t>
  </si>
  <si>
    <t>Played percussion accompaniment in the school musical orchestra ensemble.</t>
  </si>
  <si>
    <t>Authored an article on design thinking and visual arts in secondary curricula.</t>
  </si>
  <si>
    <t>Refined non-fiction writing, design pedagogy arguments, and structured flow.</t>
  </si>
  <si>
    <t>Wrote a creative narrative about a young rural sculptor finding her artistic voice.</t>
  </si>
  <si>
    <t>Developed rich characterization, sensory descriptive prose, and emotional arcs.</t>
  </si>
  <si>
    <t>Achieve top distinction in Class 12 Board Examinations</t>
  </si>
  <si>
    <t>Intensive Preparation for CUET &amp; Central University Entrance</t>
  </si>
  <si>
    <t>Wrote an essay on the Tata Building India theme regarding national development.</t>
  </si>
  <si>
    <t>Absorbed valuable mentorship from teachers regarding national progress and civic duty.</t>
  </si>
  <si>
    <t>Constructed an artistic rangoli using vibrant mineral hues and petals.</t>
  </si>
  <si>
    <t>Gained self-confidence, spatial patience, and visual design skills.</t>
  </si>
  <si>
    <t>Applied intricate mehndi on peers during the school festive competition.</t>
  </si>
  <si>
    <t>Learned that dedication, focus, and persistent practice yield true artistic beauty.</t>
  </si>
  <si>
    <t>Created a handcrafted Rakhi from domestic household materials and ribbons.</t>
  </si>
  <si>
    <t>Learned that splendid, meaningful crafts can be created from everyday household items.</t>
  </si>
  <si>
    <t>Drew an expressive portrait of Sardar Vallabhbhai Patel using colored pencils.</t>
  </si>
  <si>
    <t>Realized that sustained hard work turns creative concepts into inspiring fine art.</t>
  </si>
  <si>
    <t>Wrote a reflective essay on social ethics and youth responsibilities in communities.</t>
  </si>
  <si>
    <t>Gained confidence in articulating personal views clearly, coherently, and boldly.</t>
  </si>
  <si>
    <t>Served as an active general member in the Student Counselling and Welfare Council.</t>
  </si>
  <si>
    <t>Learned institutional counselling procedures, peer empathy, and active listening.</t>
  </si>
  <si>
    <t>Designed an English educational chart highlighting key vocabulary and grammar rules.</t>
  </si>
  <si>
    <t>Explored and honed personal creative writing, calligraphy, and visual layout skills.</t>
  </si>
  <si>
    <t>Participated in the speech competition as an attentive participant and speaker.</t>
  </si>
  <si>
    <t>Learned public speaking, platform techniques, and diction by observing skilled speakers.</t>
  </si>
  <si>
    <t>Presented a touching storytelling narrative on middle-class family resilience.</t>
  </si>
  <si>
    <t>Learned how to write authentically about human lives, emotions, and struggles.</t>
  </si>
  <si>
    <t>Designed an IEP poster on social equity and universal education access.</t>
  </si>
  <si>
    <t>Mastered balanced visual layouts, symbolic visual elements, and neat borders.</t>
  </si>
  <si>
    <t>Performed as a general ensemble participant in the ABG orchestra presentation.</t>
  </si>
  <si>
    <t>Learned coordinated group stage discipline, acoustic listening, and team harmony.</t>
  </si>
  <si>
    <t>Authored a newspaper article on modern educational challenges in rural regions.</t>
  </si>
  <si>
    <t>Refined formal journalistic expression, editorial structuring, and clarity.</t>
  </si>
  <si>
    <t>Wrote a creative story on the transformative, uplifting power of schooling.</t>
  </si>
  <si>
    <t>Successfully conveyed personal philosophies and social hope through fiction.</t>
  </si>
  <si>
    <t>Bachelor of Engineering (B.Tech) in Computer Science / IT</t>
  </si>
  <si>
    <t>Drafted an essay on the pivotal contribution of science and tech to national growth.</t>
  </si>
  <si>
    <t>Learned thesis organization, analytical clarity, and evidence integration.</t>
  </si>
  <si>
    <t>Crafted a handmade Rakhi using colored satin ribbon, pearls, and golden cord.</t>
  </si>
  <si>
    <t>Developed craft patience, delicate thread assembly, and neat finishing.</t>
  </si>
  <si>
    <t>Authored a persuasive speech on student civic duties and voting awareness.</t>
  </si>
  <si>
    <t>Improved public speaking, persuasive reasoning, and audience connection.</t>
  </si>
  <si>
    <t>Participated in the Bal Sansad voting process and election coordination.</t>
  </si>
  <si>
    <t>Understood democratic voting mechanisms, electoral ethics, and student governance.</t>
  </si>
  <si>
    <t>Designed a classroom educational chart on mathematical theorems and calculus.</t>
  </si>
  <si>
    <t>Learned clear layout design, formula indexing, and aesthetic presentation.</t>
  </si>
  <si>
    <t>Delivered a persuasive speech on youth resilience, focus, and academic courage.</t>
  </si>
  <si>
    <t>Narrated an inspiring moral story on honesty, perseverance, and ethical choices.</t>
  </si>
  <si>
    <t>Participated as a stage dance and music performer in the school cultural ensemble.</t>
  </si>
  <si>
    <t>Cultivated stage poise, physical grace, rhythm coordination, and ensemble teamwork.</t>
  </si>
  <si>
    <t>Score 85%+ in Class 12th, extra practice in Mathematics &amp; excel in practicals</t>
  </si>
  <si>
    <t>Engineering Degree from a Reputed University</t>
  </si>
  <si>
    <t>Authored a comprehensive essay on 'How to Develop India till 2047'.</t>
  </si>
  <si>
    <t>Learned analytical planning, structured futuristic visioning, and formal rhetoric.</t>
  </si>
  <si>
    <t>Co-created a colorful rangoli using organic marigold and rose petals.</t>
  </si>
  <si>
    <t>Applied an intricate henna design, taking care not to let tiny motifs bleed.</t>
  </si>
  <si>
    <t>Understood mehndi as an art requiring immense patience, precision, and focus.</t>
  </si>
  <si>
    <t>Crafted an innovative Rakhi using glitter paper, tiny mirrors, and pearls.</t>
  </si>
  <si>
    <t>Explored fresh design ideas, honed fine motor artistry, and creative assembly.</t>
  </si>
  <si>
    <t>Illustrated Sardar Vallabhbhai Patel's historic struggles and selfless sacrifices.</t>
  </si>
  <si>
    <t>Gained deep appreciation of historical leadership and freedom battles through art.</t>
  </si>
  <si>
    <t>Designed classroom educational charts focusing on mathematics and optics.</t>
  </si>
  <si>
    <t>Learned how to make learning spaces visually engaging and intellectually stimulating.</t>
  </si>
  <si>
    <t>Delivered a persuasive speech on youth resilience, confidence, and self-belief.</t>
  </si>
  <si>
    <t>Learned to speak confidently before an audience without nervousness or hesitation.</t>
  </si>
  <si>
    <t>Authored and told an engaging, suspenseful narrative with unexpected plot turns.</t>
  </si>
  <si>
    <t>Mastered crafting compelling story arcs, building tension, and character depth.</t>
  </si>
  <si>
    <t>Designed an impactful IEP poster communicating social responsibility themes.</t>
  </si>
  <si>
    <t>Learned how to communicate deep concepts and philosophies through visual poster art.</t>
  </si>
  <si>
    <t>Authored an insightful article on technological progress and youth innovation.</t>
  </si>
  <si>
    <t>Significantly enhanced research skills, objective inquiry, and expressive writing.</t>
  </si>
  <si>
    <t>Wrote an original creative fiction story featuring complex character choices.</t>
  </si>
  <si>
    <t>Developed sharp imaginative thinking, realistic dialogue, and narrative development.</t>
  </si>
  <si>
    <t>B.Sc in Biotechnology / Medical Sciences</t>
  </si>
  <si>
    <t>Authored an essay on scientific research improving public healthcare.</t>
  </si>
  <si>
    <t>Learned structured scientific reasoning and research review.</t>
  </si>
  <si>
    <t>Designed a vibrant floral rangoli using dry powders and organic petals.</t>
  </si>
  <si>
    <t>Practiced traditional floral henna motifs on practice sheets.</t>
  </si>
  <si>
    <t>Improved steady hand control, patience, and fine motor precision.</t>
  </si>
  <si>
    <t>Crafted a handmade Rakhi using silk ribbons and pearl accents.</t>
  </si>
  <si>
    <t>Painted a scenic botanical garden featuring medicinal herbs.</t>
  </si>
  <si>
    <t>Improved botanical illustration, delicate brushwork, and natural coloring.</t>
  </si>
  <si>
    <t>Wrote an essay on environmental sanitation and public health.</t>
  </si>
  <si>
    <t>Participated actively in Bal Sansad health and hygiene committee.</t>
  </si>
  <si>
    <t>Created an educational chart on human cell biology and organ systems.</t>
  </si>
  <si>
    <t>Delivered a speech on Preventive Healthcare and Daily Habits.</t>
  </si>
  <si>
    <t>Narrated a touching story on compassion and community service.</t>
  </si>
  <si>
    <t>Designed a poster on water purification and health awareness.</t>
  </si>
  <si>
    <t>Authored an article on biotechnology advancements in agriculture.</t>
  </si>
  <si>
    <t>Wrote a creative story about a young girl discovering medicinal plants.</t>
  </si>
  <si>
    <t>Bachelor of Engineering (B.Tech) Post Class 12th</t>
  </si>
  <si>
    <t>Wrote an extensive essay covering education, skill growth, ecology, and unity.</t>
  </si>
  <si>
    <t>Reflected deeply on national issues, improved structured writing, and handled deadlines.</t>
  </si>
  <si>
    <t>Created a beautiful festive rangoli using colorful mineral powders.</t>
  </si>
  <si>
    <t>Learned to manage colors, geometry, and design balance within tight timeframes.</t>
  </si>
  <si>
    <t>Drafted traditional mehndi patterns on chart paper using calligraphy tools.</t>
  </si>
  <si>
    <t>Developed fine artistic detailing, patient design control, and geometric spacing.</t>
  </si>
  <si>
    <t>Crafted an eco-friendly Rakhi from silk threads, beads, and recycled domestic items.</t>
  </si>
  <si>
    <t>Learned how to create beautiful, festive crafts from simple raw materials.</t>
  </si>
  <si>
    <t>Created a vibrant watercolor painting communicating social environmental harmony.</t>
  </si>
  <si>
    <t>Learned how a simple painting can communicate a powerful, positive social message.</t>
  </si>
  <si>
    <t>Authored an essay on environmental conservation, pollution, and civic duty.</t>
  </si>
  <si>
    <t>Polished time management, persuasive rhetoric, and clear practical problem-solving.</t>
  </si>
  <si>
    <t>Designed a comprehensive Chemistry educational chart on molecular structures.</t>
  </si>
  <si>
    <t>Learned clear visualization of complex chemical formulas and graphic neatness.</t>
  </si>
  <si>
    <t>Delivered a powerful speech on the challenge of Unemployment and Practical Solutions.</t>
  </si>
  <si>
    <t>Boosted stage courage, oratorical diction, and public speaking confidence.</t>
  </si>
  <si>
    <t>Authored and narrated an engaging story exploring moral choices and dedication.</t>
  </si>
  <si>
    <t>Learned to shape imagination into expressive words and developed creative confidence.</t>
  </si>
  <si>
    <t>Solve past 10-year board examination question papers and score 85%+</t>
  </si>
  <si>
    <t>Authored an analytical essay on the pivotal role of engineers in modern India.</t>
  </si>
  <si>
    <t>Learned research organization, thesis planning, and technical essay flow.</t>
  </si>
  <si>
    <t>Crafted a handmade Rakhi using silk ribbons, pearls, and decorative cord.</t>
  </si>
  <si>
    <t>Designed a classroom chemistry formula chart on organic reaction mechanisms.</t>
  </si>
  <si>
    <t>Learned organized technical charting, structural chemical formulas, and clarity.</t>
  </si>
  <si>
    <t>Score 80%+ and excel across all academic assessments and practicals</t>
  </si>
  <si>
    <t>Higher Education in Science &amp; Applied Technology</t>
  </si>
  <si>
    <t>Wrote an essay on youth civic responsibility and positive social contributions.</t>
  </si>
  <si>
    <t>Felt greatly inspired and learned structured prose drafting and outline planning.</t>
  </si>
  <si>
    <t>Assisted classmates in designing a large floral rangoli layout in the courtyard.</t>
  </si>
  <si>
    <t>Cultivated collaborative teamwork, design appreciation, and color harmony.</t>
  </si>
  <si>
    <t>Observed and practiced fundamental henna line work and curved border patterns.</t>
  </si>
  <si>
    <t>Improved precision hand control, patience, and steady pencil handling.</t>
  </si>
  <si>
    <t>Discovered immense joy in handmade creativity, sustainable crafting, and assembly.</t>
  </si>
  <si>
    <t>Created a landscape watercolor artwork featuring hills, rivers, and sunrise.</t>
  </si>
  <si>
    <t>Learned rich color harmonization, horizon perspective, and personal expression.</t>
  </si>
  <si>
    <t>Drafted an essay on the lifelong values of perseverance and daily dedication.</t>
  </si>
  <si>
    <t>Learned how to structure and articulate ideas smoothly with moral conviction.</t>
  </si>
  <si>
    <t>Participated in Bal Sansad assembly meetings, navigating student discussions.</t>
  </si>
  <si>
    <t>Learned to overcome debate hurdles, listen attentively, and build consensus.</t>
  </si>
  <si>
    <t>Decorated the classroom and prepared an educational subject chart systematically.</t>
  </si>
  <si>
    <t>Learned visual classroom presentation techniques, aesthetic spacing, and neatness.</t>
  </si>
  <si>
    <t>Prepared and observed elocution speeches on youth leadership and discipline.</t>
  </si>
  <si>
    <t>Learned public speaking demeanor, posture, and gained platform confidence.</t>
  </si>
  <si>
    <t>Authored and narrated an inspirational story about a student overcoming hurdles.</t>
  </si>
  <si>
    <t>Learned expressive storytelling, emotional articulation, and narrative pacing.</t>
  </si>
  <si>
    <t>Created an IEP social awareness poster advocating mutual respect and kindness.</t>
  </si>
  <si>
    <t>Mastered visual hierarchy, catchy slogans, and clear symbolic illustration.</t>
  </si>
  <si>
    <t>Supported the musical ensemble during the school cultural presentation.</t>
  </si>
  <si>
    <t>Learned team unity, acoustic rhythm, active listening, and synchrony.</t>
  </si>
  <si>
    <t>Authored an informative article on student well-being, mindfulness, and study tips.</t>
  </si>
  <si>
    <t>Gained significant clarity in non-fiction composition and structured advice.</t>
  </si>
  <si>
    <t>Wrote a creative narrative about community members coming together after a storm.</t>
  </si>
  <si>
    <t>Learned imaginative plot structuring, dialogue drafting, and character growth.</t>
  </si>
  <si>
    <t>B.Sc / M.Sc in Mathematics &amp; Quantitative Research</t>
  </si>
  <si>
    <t>Authored an essay on mathematics as the foundational language of technology.</t>
  </si>
  <si>
    <t>Learned rigorous logical writing, systematic thesis progression, and clarity.</t>
  </si>
  <si>
    <t>Designed an intricate geometric mandala rangoli with strict radial symmetry.</t>
  </si>
  <si>
    <t>Developed spatial precision, angular symmetry, and mathematical aesthetics.</t>
  </si>
  <si>
    <t>Practiced symmetrical henna grid patterns and delicate geometric lace lines.</t>
  </si>
  <si>
    <t>Improved line steadiness, continuous stroke control, and visual symmetry.</t>
  </si>
  <si>
    <t>Prepared an educational chart illustrating calculus theorems and geometry.</t>
  </si>
  <si>
    <t>Learned concise mathematical drafting, geometric graph layouts, and neatness.</t>
  </si>
  <si>
    <t>Authored an article on the history and global impact of ancient Indian mathematics.</t>
  </si>
  <si>
    <t>Strengthened expository writing, historical research, and mathematical prose.</t>
  </si>
  <si>
    <t>Wrote a creative story about a young puzzle-solver cracking an ancient cipher.</t>
  </si>
  <si>
    <t>Developed structured plot progression, intellectual suspense, and resolution.</t>
  </si>
  <si>
    <t>Authored an essay on the contribution of science and technology to national growth.</t>
  </si>
  <si>
    <t>Crafted a 4-inch large Eco-Friendly Rakhi constructed from chart paper and cord.</t>
  </si>
  <si>
    <t>Learned to create attractive crafts from humble raw materials while tackling hurdles.</t>
  </si>
  <si>
    <t>Created an artistic watercolor painting on Environmental Conservation.</t>
  </si>
  <si>
    <t>Learned to produce beautiful, impactful visual designs using minimal resources.</t>
  </si>
  <si>
    <t>Wrote an essay on 'Discipline in Student Life' and character building.</t>
  </si>
  <si>
    <t>Realized that discipline is the bedrock of personal success and noble character.</t>
  </si>
  <si>
    <t>Designed a comprehensive educational chart on Dr. A.P.J. Abdul Kalam's life journey.</t>
  </si>
  <si>
    <t>Drew profound inspiration from Dr. Kalam's humble beginnings, struggles, and triumph.</t>
  </si>
  <si>
    <t>Delivered a speech on the challenge of Unemployment and Self-Reliance.</t>
  </si>
  <si>
    <t>Realized that skill-building and entrepreneurial self-reliance solve joblessness.</t>
  </si>
  <si>
    <t>Wrote and narrated a moral story on 'The Supreme Value of Time'.</t>
  </si>
  <si>
    <t>Understood that proper time management and punctuality are the keys to success.</t>
  </si>
  <si>
    <t>Authored an original creative story based on the assigned moral theme.</t>
  </si>
  <si>
    <t>Mastered expressing personal philosophies and ethics through beautiful, precise words.</t>
  </si>
  <si>
    <t>B.Sc in Forensic Science / Biotechnology</t>
  </si>
  <si>
    <t>Wrote an essay on modern forensic technologies, DNA analysis, and justice.</t>
  </si>
  <si>
    <t>Learned structured analytical writing, scientific evidence review, and prose.</t>
  </si>
  <si>
    <t>Created a vibrant floral rangoli pattern using fine mineral hues and powders.</t>
  </si>
  <si>
    <t>Learned visual symmetry, color coordination, and cooperative artistic focus.</t>
  </si>
  <si>
    <t>Designed a biology chart detailing DNA double-helix structure and inheritance.</t>
  </si>
  <si>
    <t>Learned clear scientific charting, molecular labeling, and clean typography.</t>
  </si>
  <si>
    <t>Authored an article on forensic genetics and cyber forensic tools in law.</t>
  </si>
  <si>
    <t>Refined evidence-based journalism, modern criminology research, and clarity.</t>
  </si>
  <si>
    <t>Wrote a creative mystery story where a young student solves a school puzzle using science.</t>
  </si>
  <si>
    <t>Developed suspenseful pacing, logical deduction clues, and story resolution.</t>
  </si>
  <si>
    <t>Score 86%+ in UP Board Examinations</t>
  </si>
  <si>
    <t>Bachelor of Arts / Mass Communication &amp; Journalism</t>
  </si>
  <si>
    <t>Authored an essay on the pivotal role of responsible journalism in nation-building.</t>
  </si>
  <si>
    <t>Learned media ethics, structured argumentation, and persuasive prose style.</t>
  </si>
  <si>
    <t>Created a classroom chart on mass media, communication channels, and ethics.</t>
  </si>
  <si>
    <t>Learned visual infographic layout, communication theory schematics, and clarity.</t>
  </si>
  <si>
    <t>Delivered a speech on the Power of Truthful Communication and Free Speech.</t>
  </si>
  <si>
    <t>Gained commanding stage delivery, articulate voice modulation, and poise.</t>
  </si>
  <si>
    <t>Narrated a poignant story on moral courage in public life and speaking truth.</t>
  </si>
  <si>
    <t>Learned emotional vocal control, dramatic pauses, and audience engagement.</t>
  </si>
  <si>
    <t>Designed an educational poster promoting ethical social media usage and digital manners.</t>
  </si>
  <si>
    <t>Mastered visual hierarchy, alert iconography, and clear headline typography.</t>
  </si>
  <si>
    <t>Authored an article on digital citizen journalism and youth awareness campaigns.</t>
  </si>
  <si>
    <t>Refined expository prose, investigative interviews, and concise reporting.</t>
  </si>
  <si>
    <t>Penned a story about an honest young school reporter uncovering important news.</t>
  </si>
  <si>
    <t>Broadened creative writing, realistic dialogue, and moral integrity themes.</t>
  </si>
  <si>
    <t>Score high percentage in Class 12 Board Examinations</t>
  </si>
  <si>
    <t>Fulfill ultimate career ambition in competitive professional fields</t>
  </si>
  <si>
    <t>Wrote an essay committing to honesty, integrity, and national progress.</t>
  </si>
  <si>
    <t>Learned structured composition on Indian development, civic virtue, and truth.</t>
  </si>
  <si>
    <t>Crafted a beautiful handcrafted Rakhi following 'waste into best' methodology.</t>
  </si>
  <si>
    <t>Learned sustainable upcycling, craft ingenuity, and artistic material reuse.</t>
  </si>
  <si>
    <t>Engineered a 'Goal Setting Corner Chart' for classroom motivation and focus.</t>
  </si>
  <si>
    <t>Learned visual organization for goal tracking, inspirational typography, and layout.</t>
  </si>
  <si>
    <t>Wrote and presented a personal biographical story about family and aspirations.</t>
  </si>
  <si>
    <t>Cultivated introspective narrative writing, authentic voice, and self-expression.</t>
  </si>
  <si>
    <t>Authored an autobiographical reflective story celebrating maternal guidance.</t>
  </si>
  <si>
    <t>Learned emotional articulation, authentic narrative pacing, and deep expression.</t>
  </si>
  <si>
    <t>Attain top score in UP Board Class 12 Examinations</t>
  </si>
  <si>
    <t>Bachelor of Technology (B.Tech / Engineering) in Computer Science</t>
  </si>
  <si>
    <t>Composed an analytical essay on women engineers shaping India's tech future.</t>
  </si>
  <si>
    <t>Learned research synthesis, gender parity analysis, and inspiring rhetoric.</t>
  </si>
  <si>
    <t>Prepared an educational chart on electrical circuits, resistors, and Ohm's law.</t>
  </si>
  <si>
    <t>Learned clear technical illustration, electrical schematics, and clean layout.</t>
  </si>
  <si>
    <t>Authored an article on green engineering, smart microgrids, and clean power.</t>
  </si>
  <si>
    <t>Learned structured expository writing, renewable technology review, and clarity.</t>
  </si>
  <si>
    <t>Wrote a creative narrative about an inspiring young female robotics technician.</t>
  </si>
  <si>
    <t>Enhanced imaginative writing, technical plot elements, and inspiring themes.</t>
  </si>
  <si>
    <t>Bachelor of Architecture / Civil Engineering Degree</t>
  </si>
  <si>
    <t>Wrote an essay on modern sustainable architecture, green buildings, and smart cities.</t>
  </si>
  <si>
    <t>Learned structured analysis, urban planning concepts, and architectural prose.</t>
  </si>
  <si>
    <t>Sketched Indian architectural wonders including ancient temples and modern bridges.</t>
  </si>
  <si>
    <t>Improved perspective drafting, structural line balance, and architectural shading.</t>
  </si>
  <si>
    <t>Drafted an essay on heritage restoration and modern urban housing infrastructure.</t>
  </si>
  <si>
    <t>Refined logical writing, preservation arguments, and structural coherence.</t>
  </si>
  <si>
    <t>Served in the Bal Sansad infrastructure, seating, and campus maintenance wing.</t>
  </si>
  <si>
    <t>Learned campus planning, ergonomic furniture care, and active team leadership.</t>
  </si>
  <si>
    <t>Designed a reference chart on architectural engineering and load-bearing structures.</t>
  </si>
  <si>
    <t>Learned technical drawing layouts, elevation schematics, and clean labeling.</t>
  </si>
  <si>
    <t>Delivered a speech on Building Eco-Friendly Cities and Green Architecture.</t>
  </si>
  <si>
    <t>Built platform confidence, clear urban planning vocabulary, and poise.</t>
  </si>
  <si>
    <t>Narrated a folklore story about ancient Indian master builders and temple artisans.</t>
  </si>
  <si>
    <t>Enhanced vocal delivery, historical cultural pride, and descriptive storytelling.</t>
  </si>
  <si>
    <t>Designed an educational poster promoting green buildings, insulation, and solar roofs.</t>
  </si>
  <si>
    <t>Learned high-impact graphic design, sustainable city iconography, and bold copy.</t>
  </si>
  <si>
    <t>Authored an article on sustainable urban housing and low-cost construction materials.</t>
  </si>
  <si>
    <t>Refined non-fiction composition, material science insights, and clarity.</t>
  </si>
  <si>
    <t>Wrote a creative story about building an earthquake-resistant village school.</t>
  </si>
  <si>
    <t>Boosted storytelling skills, practical engineering plotlines, and community pride.</t>
  </si>
  <si>
    <t>Score 90%+ across all three core subjects in Class 12 Boards</t>
  </si>
  <si>
    <t>Crack UPSC Civil Services &amp; Become an IAS Officer</t>
  </si>
  <si>
    <t>Authored an analytical essay on public administration, grassroots justice, and growth.</t>
  </si>
  <si>
    <t>Learned policy analysis, constitutional values, and formal administrative prose.</t>
  </si>
  <si>
    <t>Created a symmetrical mandala rangoli featuring intricate concentric rings.</t>
  </si>
  <si>
    <t>Learned spatial planning, mathematical precision, and sustained aesthetic focus.</t>
  </si>
  <si>
    <t>Practiced traditional henna motifs focusing on fine lines and circular mandalas.</t>
  </si>
  <si>
    <t>Improved fine hand steadiness, pattern symmetry, and patient manual detailing.</t>
  </si>
  <si>
    <t>Handcrafted a patriotic tricolor Rakhi using fine silk threads and golden zari.</t>
  </si>
  <si>
    <t>Learned delicate craftsmanship, symbolic design choices, and neat finishing.</t>
  </si>
  <si>
    <t>Painted a landscape depicting rural healthcare centers, schools, and green farms.</t>
  </si>
  <si>
    <t>Improved thematic visual expression, sociological storytelling, and color balance.</t>
  </si>
  <si>
    <t>Drafted an essay on administrative ethics, anti-corruption, and vibrant democracy.</t>
  </si>
  <si>
    <t>Strengthened analytical essay writing, legal logic, and persuasive rhetoric.</t>
  </si>
  <si>
    <t>Led parliamentary debates as Prime Minister in Bal Sansad student governance.</t>
  </si>
  <si>
    <t>Mastered democratic governance, collective dispute resolution, and leadership.</t>
  </si>
  <si>
    <t>Designed a comprehensive chart on the Indian Constitution and Fundamental Rights.</t>
  </si>
  <si>
    <t>Improved legal schematic presentation, constitutional article indexing, and layout.</t>
  </si>
  <si>
    <t>Delivered an inspiring speech on Good Governance, Ethics, and Social Justice.</t>
  </si>
  <si>
    <t>Developed authoritative oratorical presence, commanding diction, and poise.</t>
  </si>
  <si>
    <t>Narrated a poignant story on moral fortitude and unyielding administrative integrity.</t>
  </si>
  <si>
    <t>Learned captivating audience engagement, dramatic pacing, and moral clarity.</t>
  </si>
  <si>
    <t>Designed an educational poster promoting ethical voting and civic awareness.</t>
  </si>
  <si>
    <t>Mastered visual hierarchy, non-partisan messaging, and bold headline design.</t>
  </si>
  <si>
    <t>Coordinated orchestral brass and rhythm sections during national anthems.</t>
  </si>
  <si>
    <t>Cultivated synchronized group harmony, disciplined tempo, and team leadership.</t>
  </si>
  <si>
    <t>Authored an article analyzing women's participation in local Panchayati Raj.</t>
  </si>
  <si>
    <t>Refined evidence-based policy writing, field survey synthesis, and clarity.</t>
  </si>
  <si>
    <t>Wrote a narrative about an honest district magistrate transforming a neglected block.</t>
  </si>
  <si>
    <t>Developed deep character storytelling, realistic governance hurdles, and hope.</t>
  </si>
  <si>
    <t>Comprehensive improvement across core subjects &amp; score 85%+</t>
  </si>
  <si>
    <t>Qualify CUET &amp; Pursue a Prestigious Central University Degree</t>
  </si>
  <si>
    <t>Authored an essay on 'Clean and Green India' detailing environmental hygiene.</t>
  </si>
  <si>
    <t>Learned national cleanliness ethics and substantially enhanced article writing skills.</t>
  </si>
  <si>
    <t>Learned creative artisanal craft assembly, resourcefulness, and decorative joining.</t>
  </si>
  <si>
    <t>Practiced landscape and nature drawing using watercolors, pastels, and ink.</t>
  </si>
  <si>
    <t>Learned essential drawing techniques, horizon shading, and vibrant color application.</t>
  </si>
  <si>
    <t>Designed a classroom educational chart on environmental hygiene and handwashing.</t>
  </si>
  <si>
    <t>Learned visual infographic presentation, hygiene steps layout, and neatness.</t>
  </si>
  <si>
    <t>Authored an essay on educational reforms, digital classrooms, and modern learning.</t>
  </si>
  <si>
    <t>Learned structured thesis writing, educational policy review, and formal tone.</t>
  </si>
  <si>
    <t>Designed a comprehensive educational chart on world history and civilizations.</t>
  </si>
  <si>
    <t>Learned clear infographic layout, historical timelines, and aesthetic typography.</t>
  </si>
  <si>
    <t>Authored an article analyzing international educational standards and innovation.</t>
  </si>
  <si>
    <t>Refined analytical documentation, comparative academic analysis, and clarity.</t>
  </si>
  <si>
    <t>Wrote a creative narrative about an inspiring student journey overcoming hurdles.</t>
  </si>
  <si>
    <t>Enhanced imaginative storytelling, warm character development, and narrative arc.</t>
  </si>
  <si>
    <t>12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</si>
</sst>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\-0000\-0000"/>
    <numFmt numFmtId="165" formatCode="0;[Red]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sz val="11"/>
      <color theme="1"/>
      <name val="Segoe UI Variable Text Semiligh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8">
    <xf numFmtId="0" fontId="0" fillId="0" borderId="0" xfId="0"/>
    <xf numFmtId="0" fontId="2" fillId="3" borderId="0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164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/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7" fillId="0" borderId="1" xfId="1" applyBorder="1"/>
    <xf numFmtId="164" fontId="3" fillId="0" borderId="1" xfId="0" quotePrefix="1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64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7" fillId="2" borderId="1" xfId="1" applyFill="1" applyBorder="1" applyAlignment="1">
      <alignment horizontal="left"/>
    </xf>
    <xf numFmtId="0" fontId="5" fillId="2" borderId="1" xfId="0" applyFont="1" applyFill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7" fillId="0" borderId="1" xfId="1" applyBorder="1" applyAlignment="1">
      <alignment horizontal="left"/>
    </xf>
    <xf numFmtId="0" fontId="3" fillId="2" borderId="1" xfId="0" applyFont="1" applyFill="1" applyBorder="1"/>
    <xf numFmtId="0" fontId="4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10" fillId="0" borderId="2" xfId="0" applyFont="1" applyFill="1" applyBorder="1" applyAlignment="1">
      <alignment horizontal="left"/>
    </xf>
    <xf numFmtId="49" fontId="10" fillId="0" borderId="2" xfId="0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49" fontId="3" fillId="0" borderId="2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3" fillId="2" borderId="2" xfId="0" quotePrefix="1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10" fillId="0" borderId="3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3" fillId="0" borderId="3" xfId="0" applyNumberFormat="1" applyFont="1" applyBorder="1" applyAlignment="1">
      <alignment horizontal="left"/>
    </xf>
    <xf numFmtId="49" fontId="3" fillId="0" borderId="2" xfId="0" quotePrefix="1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/>
    <xf numFmtId="0" fontId="3" fillId="7" borderId="1" xfId="0" applyFont="1" applyFill="1" applyBorder="1" applyAlignment="1">
      <alignment horizontal="left"/>
    </xf>
    <xf numFmtId="49" fontId="10" fillId="2" borderId="2" xfId="0" applyNumberFormat="1" applyFont="1" applyFill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/>
    </xf>
    <xf numFmtId="49" fontId="10" fillId="0" borderId="3" xfId="0" applyNumberFormat="1" applyFont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/>
    </xf>
    <xf numFmtId="0" fontId="12" fillId="3" borderId="0" xfId="0" applyFont="1" applyFill="1" applyBorder="1"/>
    <xf numFmtId="0" fontId="11" fillId="2" borderId="1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3" fillId="0" borderId="3" xfId="0" applyFont="1" applyBorder="1"/>
    <xf numFmtId="0" fontId="10" fillId="0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0" fillId="0" borderId="1" xfId="0" applyNumberFormat="1" applyBorder="1"/>
    <xf numFmtId="0" fontId="0" fillId="0" borderId="1" xfId="0" applyBorder="1" applyAlignment="1">
      <alignment wrapText="1"/>
    </xf>
    <xf numFmtId="1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MIMANSHA6@GMAIL.COM" TargetMode="External"/><Relationship Id="rId18" Type="http://schemas.openxmlformats.org/officeDocument/2006/relationships/hyperlink" Target="mailto:purveekumari422@gmail.com" TargetMode="External"/><Relationship Id="rId26" Type="http://schemas.openxmlformats.org/officeDocument/2006/relationships/hyperlink" Target="mailto:mehtapappukumar7400@gmail.com" TargetMode="External"/><Relationship Id="rId39" Type="http://schemas.openxmlformats.org/officeDocument/2006/relationships/hyperlink" Target="mailto:vandanasingh8081961214@gmail.com" TargetMode="External"/><Relationship Id="rId21" Type="http://schemas.openxmlformats.org/officeDocument/2006/relationships/hyperlink" Target="mailto:shweta37113@gmail.com" TargetMode="External"/><Relationship Id="rId34" Type="http://schemas.openxmlformats.org/officeDocument/2006/relationships/hyperlink" Target="mailto:SY1721626@GMAIL.COM" TargetMode="External"/><Relationship Id="rId42" Type="http://schemas.openxmlformats.org/officeDocument/2006/relationships/hyperlink" Target="mailto:mariyamnoor2009@gmail.com" TargetMode="External"/><Relationship Id="rId47" Type="http://schemas.openxmlformats.org/officeDocument/2006/relationships/hyperlink" Target="mailto:dayadav4303@gmail.com" TargetMode="External"/><Relationship Id="rId50" Type="http://schemas.openxmlformats.org/officeDocument/2006/relationships/hyperlink" Target="mailto:abhishekgupta24371626@gmail.com" TargetMode="External"/><Relationship Id="rId55" Type="http://schemas.openxmlformats.org/officeDocument/2006/relationships/hyperlink" Target="mailto:S826088@GMAIL.COM" TargetMode="External"/><Relationship Id="rId7" Type="http://schemas.openxmlformats.org/officeDocument/2006/relationships/hyperlink" Target="mailto:JITENDRASINGH76108@GMAIL.COM" TargetMode="External"/><Relationship Id="rId12" Type="http://schemas.openxmlformats.org/officeDocument/2006/relationships/hyperlink" Target="mailto:PARDIPAPARJAPATI@GMAIL.COM" TargetMode="External"/><Relationship Id="rId17" Type="http://schemas.openxmlformats.org/officeDocument/2006/relationships/hyperlink" Target="mailto:priyaak32918@gmail.com" TargetMode="External"/><Relationship Id="rId25" Type="http://schemas.openxmlformats.org/officeDocument/2006/relationships/hyperlink" Target="mailto:kaynat26116@gmail.com" TargetMode="External"/><Relationship Id="rId33" Type="http://schemas.openxmlformats.org/officeDocument/2006/relationships/hyperlink" Target="mailto:kamleshkumartripathi31@gmail.com" TargetMode="External"/><Relationship Id="rId38" Type="http://schemas.openxmlformats.org/officeDocument/2006/relationships/hyperlink" Target="mailto:pooja277504@gmail.com" TargetMode="External"/><Relationship Id="rId46" Type="http://schemas.openxmlformats.org/officeDocument/2006/relationships/hyperlink" Target="mailto:sntoshchaurasiya8@gmail.com" TargetMode="External"/><Relationship Id="rId59" Type="http://schemas.openxmlformats.org/officeDocument/2006/relationships/printerSettings" Target="../printerSettings/printerSettings1.bin"/><Relationship Id="rId2" Type="http://schemas.openxmlformats.org/officeDocument/2006/relationships/hyperlink" Target="mailto:ravisingh82777@gmail.com" TargetMode="External"/><Relationship Id="rId16" Type="http://schemas.openxmlformats.org/officeDocument/2006/relationships/hyperlink" Target="mailto:savitamishrarkt@gmail.com" TargetMode="External"/><Relationship Id="rId20" Type="http://schemas.openxmlformats.org/officeDocument/2006/relationships/hyperlink" Target="mailto:TGEMAR368@GMAIL.COM" TargetMode="External"/><Relationship Id="rId29" Type="http://schemas.openxmlformats.org/officeDocument/2006/relationships/hyperlink" Target="mailto:banarasiprasad00@gmail.com" TargetMode="External"/><Relationship Id="rId41" Type="http://schemas.openxmlformats.org/officeDocument/2006/relationships/hyperlink" Target="mailto:badashkhan.rkt@gmail.com" TargetMode="External"/><Relationship Id="rId54" Type="http://schemas.openxmlformats.org/officeDocument/2006/relationships/hyperlink" Target="mailto:vishnu752398@gmail.com" TargetMode="External"/><Relationship Id="rId1" Type="http://schemas.openxmlformats.org/officeDocument/2006/relationships/hyperlink" Target="mailto:sonarkt1980@gmail.com" TargetMode="External"/><Relationship Id="rId6" Type="http://schemas.openxmlformats.org/officeDocument/2006/relationships/hyperlink" Target="mailto:skm498174@gmail.com" TargetMode="External"/><Relationship Id="rId11" Type="http://schemas.openxmlformats.org/officeDocument/2006/relationships/hyperlink" Target="mailto:AKRITISHISHTOLA2009@GMAIL.COM" TargetMode="External"/><Relationship Id="rId24" Type="http://schemas.openxmlformats.org/officeDocument/2006/relationships/hyperlink" Target="mailto:ahmadv3561@gmail.com" TargetMode="External"/><Relationship Id="rId32" Type="http://schemas.openxmlformats.org/officeDocument/2006/relationships/hyperlink" Target="mailto:mr.ry.rohit.yadav@gmail.com" TargetMode="External"/><Relationship Id="rId37" Type="http://schemas.openxmlformats.org/officeDocument/2006/relationships/hyperlink" Target="mailto:rajuagrawal37850@gmail.com" TargetMode="External"/><Relationship Id="rId40" Type="http://schemas.openxmlformats.org/officeDocument/2006/relationships/hyperlink" Target="mailto:a23303084@gmail.com" TargetMode="External"/><Relationship Id="rId45" Type="http://schemas.openxmlformats.org/officeDocument/2006/relationships/hyperlink" Target="mailto:sangitasangita77546@gmail.com" TargetMode="External"/><Relationship Id="rId53" Type="http://schemas.openxmlformats.org/officeDocument/2006/relationships/hyperlink" Target="mailto:anshulkum565@gmail.com" TargetMode="External"/><Relationship Id="rId58" Type="http://schemas.openxmlformats.org/officeDocument/2006/relationships/hyperlink" Target="mailto:YADAVKIRAN0435@GMAIL.COM" TargetMode="External"/><Relationship Id="rId5" Type="http://schemas.openxmlformats.org/officeDocument/2006/relationships/hyperlink" Target="mailto:satyanandyadav2010@gmail.com" TargetMode="External"/><Relationship Id="rId15" Type="http://schemas.openxmlformats.org/officeDocument/2006/relationships/hyperlink" Target="mailto:vijayray6070@gmail.com" TargetMode="External"/><Relationship Id="rId23" Type="http://schemas.openxmlformats.org/officeDocument/2006/relationships/hyperlink" Target="mailto:nirmala0101@gmail.com" TargetMode="External"/><Relationship Id="rId28" Type="http://schemas.openxmlformats.org/officeDocument/2006/relationships/hyperlink" Target="mailto:ankit09rkt@gmail.com" TargetMode="External"/><Relationship Id="rId36" Type="http://schemas.openxmlformats.org/officeDocument/2006/relationships/hyperlink" Target="mailto:umeshyadav5277@gmail.com" TargetMode="External"/><Relationship Id="rId49" Type="http://schemas.openxmlformats.org/officeDocument/2006/relationships/hyperlink" Target="mailto:abhishekkumar8989@gmail.com" TargetMode="External"/><Relationship Id="rId57" Type="http://schemas.openxmlformats.org/officeDocument/2006/relationships/hyperlink" Target="mailto:GIRIDHARGOPAL7054@GMAIL.COM" TargetMode="External"/><Relationship Id="rId10" Type="http://schemas.openxmlformats.org/officeDocument/2006/relationships/hyperlink" Target="mailto:KHUSHISINGH37110@GMAIL.COM" TargetMode="External"/><Relationship Id="rId19" Type="http://schemas.openxmlformats.org/officeDocument/2006/relationships/hyperlink" Target="mailto:sraa90322@gmail.com" TargetMode="External"/><Relationship Id="rId31" Type="http://schemas.openxmlformats.org/officeDocument/2006/relationships/hyperlink" Target="mailto:rajeshkumarsingh141983@gmail.com" TargetMode="External"/><Relationship Id="rId44" Type="http://schemas.openxmlformats.org/officeDocument/2006/relationships/hyperlink" Target="mailto:vkmaurya1985up@gmail.com" TargetMode="External"/><Relationship Id="rId52" Type="http://schemas.openxmlformats.org/officeDocument/2006/relationships/hyperlink" Target="mailto:spandey49567@gmail.com" TargetMode="External"/><Relationship Id="rId4" Type="http://schemas.openxmlformats.org/officeDocument/2006/relationships/hyperlink" Target="mailto:singhshivvijay75@gmail.com" TargetMode="External"/><Relationship Id="rId9" Type="http://schemas.openxmlformats.org/officeDocument/2006/relationships/hyperlink" Target="mailto:JIVANJYOTIK0@GMAIL.COM" TargetMode="External"/><Relationship Id="rId14" Type="http://schemas.openxmlformats.org/officeDocument/2006/relationships/hyperlink" Target="mailto:ishikakumari2108@gmail.com" TargetMode="External"/><Relationship Id="rId22" Type="http://schemas.openxmlformats.org/officeDocument/2006/relationships/hyperlink" Target="mailto:abdullahhabib231217@gmail.com" TargetMode="External"/><Relationship Id="rId27" Type="http://schemas.openxmlformats.org/officeDocument/2006/relationships/hyperlink" Target="mailto:deepakwatola2009@gmail.com" TargetMode="External"/><Relationship Id="rId30" Type="http://schemas.openxmlformats.org/officeDocument/2006/relationships/hyperlink" Target="mailto:sharmapuspraj221@gmail.com" TargetMode="External"/><Relationship Id="rId35" Type="http://schemas.openxmlformats.org/officeDocument/2006/relationships/hyperlink" Target="mailto:shubhashcharkt@gmail.com" TargetMode="External"/><Relationship Id="rId43" Type="http://schemas.openxmlformats.org/officeDocument/2006/relationships/hyperlink" Target="mailto:latarkt231217@gmail.com" TargetMode="External"/><Relationship Id="rId48" Type="http://schemas.openxmlformats.org/officeDocument/2006/relationships/hyperlink" Target="mailto:sudeshwar.prasad@gmail.com" TargetMode="External"/><Relationship Id="rId56" Type="http://schemas.openxmlformats.org/officeDocument/2006/relationships/hyperlink" Target="mailto:MY2766926@GMAIL.COM" TargetMode="External"/><Relationship Id="rId8" Type="http://schemas.openxmlformats.org/officeDocument/2006/relationships/hyperlink" Target="mailto:JAMVANTSINGHYADAV7889@GMAIL.COM" TargetMode="External"/><Relationship Id="rId51" Type="http://schemas.openxmlformats.org/officeDocument/2006/relationships/hyperlink" Target="mailto:ROHITKUMARRKT7347@GMAIL.COM" TargetMode="External"/><Relationship Id="rId3" Type="http://schemas.openxmlformats.org/officeDocument/2006/relationships/hyperlink" Target="mailto:KHANHASHIM934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9"/>
  <sheetViews>
    <sheetView tabSelected="1" zoomScale="115" zoomScaleNormal="115" zoomScaleSheetLayoutView="100" workbookViewId="0">
      <selection activeCell="A2" sqref="A2"/>
    </sheetView>
  </sheetViews>
  <sheetFormatPr defaultColWidth="9.1796875" defaultRowHeight="14.5" x14ac:dyDescent="0.35"/>
  <cols>
    <col min="1" max="1" width="4.1796875" customWidth="1"/>
    <col min="2" max="2" width="5.453125" customWidth="1"/>
    <col min="3" max="3" width="7" customWidth="1"/>
    <col min="4" max="4" width="12" customWidth="1"/>
    <col min="5" max="5" width="12.1796875" bestFit="1" customWidth="1"/>
    <col min="6" max="6" width="15.54296875" customWidth="1"/>
    <col min="7" max="9" width="5.26953125" customWidth="1"/>
    <col min="10" max="10" width="22.26953125" bestFit="1" customWidth="1"/>
    <col min="11" max="11" width="31.26953125" customWidth="1"/>
    <col min="12" max="12" width="22.26953125" customWidth="1"/>
    <col min="13" max="13" width="4.26953125" customWidth="1"/>
    <col min="14" max="14" width="11.1796875" customWidth="1"/>
    <col min="15" max="15" width="5.81640625" customWidth="1"/>
    <col min="16" max="16" width="4.81640625" customWidth="1"/>
    <col min="17" max="17" width="37.453125" customWidth="1"/>
    <col min="18" max="18" width="12" customWidth="1"/>
    <col min="19" max="19" width="39.26953125" customWidth="1"/>
    <col min="20" max="20" width="10.26953125" customWidth="1"/>
    <col min="21" max="21" width="9.1796875" customWidth="1"/>
    <col min="22" max="22" width="15" customWidth="1"/>
    <col min="23" max="23" width="11.54296875" style="1" customWidth="1"/>
    <col min="24" max="68" width="9.1796875" style="1"/>
    <col min="69" max="69" width="75.1796875" style="1" bestFit="1" customWidth="1"/>
    <col min="70" max="16384" width="9.1796875" style="1"/>
  </cols>
  <sheetData>
    <row r="1" spans="1:69" s="74" customFormat="1" ht="52.5" x14ac:dyDescent="0.35">
      <c r="A1" s="75" t="s">
        <v>402</v>
      </c>
      <c r="B1" s="75" t="s">
        <v>401</v>
      </c>
      <c r="C1" s="75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75" t="s">
        <v>7</v>
      </c>
      <c r="K1" s="75" t="s">
        <v>8</v>
      </c>
      <c r="L1" s="75" t="s">
        <v>9</v>
      </c>
      <c r="M1" s="75" t="s">
        <v>10</v>
      </c>
      <c r="N1" s="75" t="s">
        <v>11</v>
      </c>
      <c r="O1" s="75" t="s">
        <v>12</v>
      </c>
      <c r="P1" s="75" t="s">
        <v>13</v>
      </c>
      <c r="Q1" s="75" t="s">
        <v>14</v>
      </c>
      <c r="R1" s="75" t="s">
        <v>15</v>
      </c>
      <c r="S1" s="75" t="s">
        <v>16</v>
      </c>
      <c r="T1" s="73" t="s">
        <v>407</v>
      </c>
      <c r="U1" s="73" t="s">
        <v>408</v>
      </c>
      <c r="V1" s="76" t="s">
        <v>409</v>
      </c>
      <c r="W1" s="85" t="s">
        <v>441</v>
      </c>
      <c r="X1" s="2" t="s">
        <v>434</v>
      </c>
      <c r="Y1" s="2" t="s">
        <v>435</v>
      </c>
      <c r="Z1" s="2" t="s">
        <v>436</v>
      </c>
      <c r="AA1" s="2" t="s">
        <v>437</v>
      </c>
      <c r="AB1" s="2" t="s">
        <v>442</v>
      </c>
      <c r="AC1" s="2" t="s">
        <v>436</v>
      </c>
      <c r="AD1" s="2" t="s">
        <v>438</v>
      </c>
      <c r="AE1" s="2" t="s">
        <v>439</v>
      </c>
      <c r="AF1" s="2" t="s">
        <v>436</v>
      </c>
      <c r="AG1" s="2" t="s">
        <v>440</v>
      </c>
      <c r="AH1" s="86" t="s">
        <v>443</v>
      </c>
      <c r="AI1" s="86" t="s">
        <v>444</v>
      </c>
      <c r="AJ1" s="86" t="s">
        <v>445</v>
      </c>
      <c r="AK1" s="86" t="s">
        <v>446</v>
      </c>
      <c r="AL1" s="86" t="s">
        <v>447</v>
      </c>
      <c r="AM1" s="86" t="s">
        <v>448</v>
      </c>
      <c r="AN1" s="2" t="s">
        <v>449</v>
      </c>
      <c r="AO1" s="2" t="s">
        <v>450</v>
      </c>
      <c r="AP1" s="2" t="s">
        <v>451</v>
      </c>
      <c r="AQ1" s="2" t="s">
        <v>452</v>
      </c>
      <c r="AR1" s="2" t="s">
        <v>453</v>
      </c>
      <c r="AS1" s="2" t="s">
        <v>454</v>
      </c>
      <c r="AT1" s="2" t="s">
        <v>455</v>
      </c>
      <c r="AU1" s="2" t="s">
        <v>456</v>
      </c>
      <c r="AV1" s="2" t="s">
        <v>457</v>
      </c>
      <c r="AW1" s="2" t="s">
        <v>458</v>
      </c>
      <c r="AX1" s="2" t="s">
        <v>459</v>
      </c>
      <c r="AY1" s="2" t="s">
        <v>460</v>
      </c>
      <c r="AZ1" s="2" t="s">
        <v>461</v>
      </c>
      <c r="BA1" s="2" t="s">
        <v>462</v>
      </c>
      <c r="BB1" s="2" t="s">
        <v>463</v>
      </c>
      <c r="BC1" s="2" t="s">
        <v>464</v>
      </c>
      <c r="BD1" s="2" t="s">
        <v>465</v>
      </c>
      <c r="BE1" s="2" t="s">
        <v>466</v>
      </c>
      <c r="BF1" s="2" t="s">
        <v>467</v>
      </c>
      <c r="BG1" s="2" t="s">
        <v>468</v>
      </c>
      <c r="BH1" s="2" t="s">
        <v>469</v>
      </c>
      <c r="BI1" s="2" t="s">
        <v>470</v>
      </c>
      <c r="BJ1" s="2" t="s">
        <v>471</v>
      </c>
      <c r="BK1" s="2" t="s">
        <v>472</v>
      </c>
      <c r="BL1" s="2" t="s">
        <v>473</v>
      </c>
      <c r="BM1" s="2" t="s">
        <v>474</v>
      </c>
      <c r="BN1" s="2" t="s">
        <v>475</v>
      </c>
      <c r="BO1" s="2" t="s">
        <v>476</v>
      </c>
      <c r="BP1" s="2" t="s">
        <v>477</v>
      </c>
      <c r="BQ1" s="2" t="s">
        <v>478</v>
      </c>
    </row>
    <row r="2" spans="1:69" x14ac:dyDescent="0.35">
      <c r="A2" s="2">
        <v>1</v>
      </c>
      <c r="B2" s="2" t="s">
        <v>2062</v>
      </c>
      <c r="C2" s="3">
        <v>38954</v>
      </c>
      <c r="D2" s="3">
        <v>1252255509</v>
      </c>
      <c r="E2" s="2">
        <v>21135989316</v>
      </c>
      <c r="F2" s="4">
        <v>270538963986</v>
      </c>
      <c r="G2" s="5" t="s">
        <v>17</v>
      </c>
      <c r="H2" s="5" t="s">
        <v>18</v>
      </c>
      <c r="I2" s="5" t="s">
        <v>19</v>
      </c>
      <c r="J2" s="6" t="s">
        <v>20</v>
      </c>
      <c r="K2" s="6" t="s">
        <v>21</v>
      </c>
      <c r="L2" s="6" t="s">
        <v>22</v>
      </c>
      <c r="M2" s="7" t="s">
        <v>23</v>
      </c>
      <c r="N2" s="8" t="s">
        <v>24</v>
      </c>
      <c r="O2" s="8" t="s">
        <v>25</v>
      </c>
      <c r="P2" s="3" t="s">
        <v>26</v>
      </c>
      <c r="Q2" s="6" t="s">
        <v>27</v>
      </c>
      <c r="R2" s="7">
        <v>9598799195</v>
      </c>
      <c r="S2" s="9" t="s">
        <v>28</v>
      </c>
      <c r="T2" s="44" t="s">
        <v>410</v>
      </c>
      <c r="U2" s="45"/>
      <c r="V2" s="77"/>
      <c r="W2" s="2">
        <v>7</v>
      </c>
      <c r="X2" s="2">
        <f t="shared" ref="X2:X64" si="0">W2/23*100</f>
        <v>30.434782608695656</v>
      </c>
      <c r="Y2" s="2">
        <v>9</v>
      </c>
      <c r="Z2" s="2">
        <f t="shared" ref="Z2:Z64" si="1">W2+Y2</f>
        <v>16</v>
      </c>
      <c r="AA2" s="2">
        <f t="shared" ref="AA2:AA64" si="2">Z2/39*100</f>
        <v>41.025641025641022</v>
      </c>
      <c r="AB2" s="2">
        <v>14</v>
      </c>
      <c r="AC2" s="2">
        <f t="shared" ref="AC2:AC64" si="3">Z2+AB2</f>
        <v>30</v>
      </c>
      <c r="AD2" s="2">
        <f t="shared" ref="AD2:AD64" si="4">(AC2/65)*100</f>
        <v>46.153846153846153</v>
      </c>
      <c r="AE2" s="2">
        <v>8</v>
      </c>
      <c r="AF2" s="2">
        <f t="shared" ref="AF2:AF64" si="5">AC2+AE2</f>
        <v>38</v>
      </c>
      <c r="AG2" s="2">
        <f t="shared" ref="AG2:AG64" si="6">(AF2/87)*100</f>
        <v>43.678160919540232</v>
      </c>
      <c r="AH2" s="2">
        <v>8</v>
      </c>
      <c r="AI2" s="2">
        <v>10</v>
      </c>
      <c r="AJ2" s="2">
        <v>0</v>
      </c>
      <c r="AK2" s="2">
        <v>1</v>
      </c>
      <c r="AL2" s="2">
        <v>0</v>
      </c>
      <c r="AM2" s="2">
        <f t="shared" ref="AM2:AM64" si="7">SUM(AH2:AL2)</f>
        <v>19</v>
      </c>
      <c r="AN2" s="2" t="s">
        <v>479</v>
      </c>
      <c r="AO2" s="2" t="s">
        <v>480</v>
      </c>
      <c r="AP2" s="2" t="s">
        <v>481</v>
      </c>
      <c r="AQ2" s="2" t="s">
        <v>482</v>
      </c>
      <c r="AR2" s="2" t="s">
        <v>483</v>
      </c>
      <c r="AS2" s="2" t="s">
        <v>484</v>
      </c>
      <c r="AT2" s="2" t="s">
        <v>485</v>
      </c>
      <c r="AU2" s="2" t="s">
        <v>486</v>
      </c>
      <c r="AV2" s="2" t="s">
        <v>487</v>
      </c>
      <c r="AW2" s="2" t="s">
        <v>488</v>
      </c>
      <c r="AX2" s="2" t="s">
        <v>489</v>
      </c>
      <c r="AY2" s="2" t="s">
        <v>490</v>
      </c>
      <c r="AZ2" s="2" t="s">
        <v>491</v>
      </c>
      <c r="BA2" s="2" t="s">
        <v>492</v>
      </c>
      <c r="BB2" s="2" t="s">
        <v>493</v>
      </c>
      <c r="BC2" s="2" t="s">
        <v>494</v>
      </c>
      <c r="BD2" s="2" t="s">
        <v>495</v>
      </c>
      <c r="BE2" s="2" t="s">
        <v>496</v>
      </c>
      <c r="BF2" s="2" t="s">
        <v>497</v>
      </c>
      <c r="BG2" s="2" t="s">
        <v>498</v>
      </c>
      <c r="BH2" s="2" t="s">
        <v>499</v>
      </c>
      <c r="BI2" s="2" t="s">
        <v>500</v>
      </c>
      <c r="BJ2" s="2" t="s">
        <v>501</v>
      </c>
      <c r="BK2" s="2" t="s">
        <v>502</v>
      </c>
      <c r="BL2" s="2" t="s">
        <v>503</v>
      </c>
      <c r="BM2" s="2" t="s">
        <v>504</v>
      </c>
      <c r="BN2" s="2" t="s">
        <v>505</v>
      </c>
      <c r="BO2" s="2" t="s">
        <v>506</v>
      </c>
      <c r="BP2" s="2" t="s">
        <v>507</v>
      </c>
      <c r="BQ2" s="2" t="s">
        <v>508</v>
      </c>
    </row>
    <row r="3" spans="1:69" x14ac:dyDescent="0.35">
      <c r="A3" s="2">
        <v>2</v>
      </c>
      <c r="B3" s="2" t="s">
        <v>2062</v>
      </c>
      <c r="C3" s="3">
        <v>40126</v>
      </c>
      <c r="D3" s="3">
        <v>1252263773</v>
      </c>
      <c r="E3" s="2">
        <v>22837855275</v>
      </c>
      <c r="F3" s="4" t="s">
        <v>241</v>
      </c>
      <c r="G3" s="5">
        <v>4</v>
      </c>
      <c r="H3" s="5">
        <v>11</v>
      </c>
      <c r="I3" s="5" t="s">
        <v>32</v>
      </c>
      <c r="J3" s="6" t="s">
        <v>242</v>
      </c>
      <c r="K3" s="6" t="s">
        <v>243</v>
      </c>
      <c r="L3" s="6" t="s">
        <v>244</v>
      </c>
      <c r="M3" s="7" t="s">
        <v>23</v>
      </c>
      <c r="N3" s="8" t="s">
        <v>227</v>
      </c>
      <c r="O3" s="8" t="s">
        <v>25</v>
      </c>
      <c r="P3" s="3" t="s">
        <v>26</v>
      </c>
      <c r="Q3" s="6" t="s">
        <v>228</v>
      </c>
      <c r="R3" s="7">
        <v>8756958156</v>
      </c>
      <c r="S3" s="9" t="s">
        <v>245</v>
      </c>
      <c r="T3" s="46" t="s">
        <v>410</v>
      </c>
      <c r="U3" s="47"/>
      <c r="V3" s="78"/>
      <c r="W3" s="2">
        <v>17</v>
      </c>
      <c r="X3" s="2">
        <f t="shared" si="0"/>
        <v>73.91304347826086</v>
      </c>
      <c r="Y3" s="2">
        <v>14</v>
      </c>
      <c r="Z3" s="2">
        <f t="shared" si="1"/>
        <v>31</v>
      </c>
      <c r="AA3" s="2">
        <f t="shared" si="2"/>
        <v>79.487179487179489</v>
      </c>
      <c r="AB3" s="2">
        <v>14</v>
      </c>
      <c r="AC3" s="2">
        <f t="shared" si="3"/>
        <v>45</v>
      </c>
      <c r="AD3" s="2">
        <f t="shared" si="4"/>
        <v>69.230769230769226</v>
      </c>
      <c r="AE3" s="2">
        <v>18</v>
      </c>
      <c r="AF3" s="2">
        <f t="shared" si="5"/>
        <v>63</v>
      </c>
      <c r="AG3" s="2">
        <f t="shared" si="6"/>
        <v>72.41379310344827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f t="shared" si="7"/>
        <v>0</v>
      </c>
      <c r="AN3" s="2" t="s">
        <v>479</v>
      </c>
      <c r="AO3" s="2" t="s">
        <v>509</v>
      </c>
      <c r="AP3" s="2" t="s">
        <v>510</v>
      </c>
      <c r="AQ3" s="2" t="s">
        <v>511</v>
      </c>
      <c r="AR3" s="2" t="s">
        <v>512</v>
      </c>
      <c r="AS3" s="2" t="s">
        <v>513</v>
      </c>
      <c r="AT3" s="2" t="s">
        <v>514</v>
      </c>
      <c r="AU3" s="2" t="s">
        <v>515</v>
      </c>
      <c r="AV3" s="2" t="s">
        <v>516</v>
      </c>
      <c r="AW3" s="2" t="s">
        <v>517</v>
      </c>
      <c r="AX3" s="2" t="s">
        <v>518</v>
      </c>
      <c r="AY3" s="2" t="s">
        <v>519</v>
      </c>
      <c r="AZ3" s="2" t="s">
        <v>520</v>
      </c>
      <c r="BA3" s="2" t="s">
        <v>521</v>
      </c>
      <c r="BB3" s="2" t="s">
        <v>522</v>
      </c>
      <c r="BC3" s="2" t="s">
        <v>523</v>
      </c>
      <c r="BD3" s="2" t="s">
        <v>524</v>
      </c>
      <c r="BE3" s="2" t="s">
        <v>525</v>
      </c>
      <c r="BF3" s="2" t="s">
        <v>526</v>
      </c>
      <c r="BG3" s="2" t="s">
        <v>527</v>
      </c>
      <c r="BH3" s="2" t="s">
        <v>528</v>
      </c>
      <c r="BI3" s="2" t="s">
        <v>529</v>
      </c>
      <c r="BJ3" s="2" t="s">
        <v>530</v>
      </c>
      <c r="BK3" s="2" t="s">
        <v>531</v>
      </c>
      <c r="BL3" s="2" t="s">
        <v>532</v>
      </c>
      <c r="BM3" s="2" t="s">
        <v>533</v>
      </c>
      <c r="BN3" s="2" t="s">
        <v>534</v>
      </c>
      <c r="BO3" s="2" t="s">
        <v>535</v>
      </c>
      <c r="BP3" s="2" t="s">
        <v>536</v>
      </c>
      <c r="BQ3" s="2" t="s">
        <v>537</v>
      </c>
    </row>
    <row r="4" spans="1:69" x14ac:dyDescent="0.35">
      <c r="A4" s="2">
        <v>3</v>
      </c>
      <c r="B4" s="2" t="s">
        <v>2062</v>
      </c>
      <c r="C4" s="3">
        <v>40127</v>
      </c>
      <c r="D4" s="3">
        <v>1252263775</v>
      </c>
      <c r="E4" s="2">
        <v>22694052014</v>
      </c>
      <c r="F4" s="4" t="s">
        <v>237</v>
      </c>
      <c r="G4" s="5" t="s">
        <v>57</v>
      </c>
      <c r="H4" s="5" t="s">
        <v>57</v>
      </c>
      <c r="I4" s="5" t="s">
        <v>32</v>
      </c>
      <c r="J4" s="6" t="s">
        <v>238</v>
      </c>
      <c r="K4" s="6" t="s">
        <v>105</v>
      </c>
      <c r="L4" s="6" t="s">
        <v>239</v>
      </c>
      <c r="M4" s="7" t="s">
        <v>23</v>
      </c>
      <c r="N4" s="8" t="s">
        <v>227</v>
      </c>
      <c r="O4" s="8" t="s">
        <v>25</v>
      </c>
      <c r="P4" s="3" t="s">
        <v>26</v>
      </c>
      <c r="Q4" s="6" t="s">
        <v>228</v>
      </c>
      <c r="R4" s="7">
        <v>9198889355</v>
      </c>
      <c r="S4" s="9" t="s">
        <v>240</v>
      </c>
      <c r="T4" s="46" t="s">
        <v>410</v>
      </c>
      <c r="U4" s="47"/>
      <c r="V4" s="78"/>
      <c r="W4" s="2">
        <v>19</v>
      </c>
      <c r="X4" s="2">
        <f t="shared" si="0"/>
        <v>82.608695652173907</v>
      </c>
      <c r="Y4" s="2">
        <v>13</v>
      </c>
      <c r="Z4" s="2">
        <f t="shared" si="1"/>
        <v>32</v>
      </c>
      <c r="AA4" s="2">
        <f t="shared" si="2"/>
        <v>82.051282051282044</v>
      </c>
      <c r="AB4" s="2">
        <v>19</v>
      </c>
      <c r="AC4" s="2">
        <f t="shared" si="3"/>
        <v>51</v>
      </c>
      <c r="AD4" s="2">
        <f t="shared" si="4"/>
        <v>78.461538461538467</v>
      </c>
      <c r="AE4" s="2">
        <v>16</v>
      </c>
      <c r="AF4" s="2">
        <f t="shared" si="5"/>
        <v>67</v>
      </c>
      <c r="AG4" s="2">
        <f t="shared" si="6"/>
        <v>77.011494252873561</v>
      </c>
      <c r="AH4" s="2">
        <v>10</v>
      </c>
      <c r="AI4" s="2">
        <v>7</v>
      </c>
      <c r="AJ4" s="2">
        <v>14</v>
      </c>
      <c r="AK4" s="2">
        <v>6</v>
      </c>
      <c r="AL4" s="2">
        <v>2</v>
      </c>
      <c r="AM4" s="2">
        <f t="shared" si="7"/>
        <v>39</v>
      </c>
      <c r="AN4" s="2" t="s">
        <v>538</v>
      </c>
      <c r="AO4" s="2" t="s">
        <v>539</v>
      </c>
      <c r="AP4" s="2" t="s">
        <v>540</v>
      </c>
      <c r="AQ4" s="2" t="s">
        <v>541</v>
      </c>
      <c r="AR4" s="2" t="s">
        <v>542</v>
      </c>
      <c r="AS4" s="2" t="s">
        <v>543</v>
      </c>
      <c r="AT4" s="2" t="s">
        <v>544</v>
      </c>
      <c r="AU4" s="2" t="s">
        <v>545</v>
      </c>
      <c r="AV4" s="2" t="s">
        <v>546</v>
      </c>
      <c r="AW4" s="2" t="s">
        <v>547</v>
      </c>
      <c r="AX4" s="2" t="s">
        <v>548</v>
      </c>
      <c r="AY4" s="2" t="s">
        <v>549</v>
      </c>
      <c r="AZ4" s="2" t="s">
        <v>550</v>
      </c>
      <c r="BA4" s="2" t="s">
        <v>551</v>
      </c>
      <c r="BB4" s="2" t="s">
        <v>552</v>
      </c>
      <c r="BC4" s="2" t="s">
        <v>553</v>
      </c>
      <c r="BD4" s="2" t="s">
        <v>554</v>
      </c>
      <c r="BE4" s="2" t="s">
        <v>555</v>
      </c>
      <c r="BF4" s="2" t="s">
        <v>556</v>
      </c>
      <c r="BG4" s="2" t="s">
        <v>557</v>
      </c>
      <c r="BH4" s="2" t="s">
        <v>558</v>
      </c>
      <c r="BI4" s="2" t="s">
        <v>559</v>
      </c>
      <c r="BJ4" s="2" t="s">
        <v>560</v>
      </c>
      <c r="BK4" s="2" t="s">
        <v>561</v>
      </c>
      <c r="BL4" s="2" t="s">
        <v>562</v>
      </c>
      <c r="BM4" s="2" t="s">
        <v>563</v>
      </c>
      <c r="BN4" s="2" t="s">
        <v>564</v>
      </c>
      <c r="BO4" s="2" t="s">
        <v>565</v>
      </c>
      <c r="BP4" s="2" t="s">
        <v>566</v>
      </c>
      <c r="BQ4" s="2" t="s">
        <v>567</v>
      </c>
    </row>
    <row r="5" spans="1:69" x14ac:dyDescent="0.35">
      <c r="A5" s="2">
        <v>4</v>
      </c>
      <c r="B5" s="2" t="s">
        <v>2062</v>
      </c>
      <c r="C5" s="3">
        <v>37212</v>
      </c>
      <c r="D5" s="3">
        <v>1252255528</v>
      </c>
      <c r="E5" s="2">
        <v>21308620363</v>
      </c>
      <c r="F5" s="10" t="s">
        <v>29</v>
      </c>
      <c r="G5" s="5" t="s">
        <v>30</v>
      </c>
      <c r="H5" s="5" t="s">
        <v>31</v>
      </c>
      <c r="I5" s="5" t="s">
        <v>32</v>
      </c>
      <c r="J5" s="6" t="s">
        <v>33</v>
      </c>
      <c r="K5" s="6" t="s">
        <v>34</v>
      </c>
      <c r="L5" s="6" t="s">
        <v>35</v>
      </c>
      <c r="M5" s="7" t="s">
        <v>23</v>
      </c>
      <c r="N5" s="8" t="s">
        <v>36</v>
      </c>
      <c r="O5" s="8" t="s">
        <v>37</v>
      </c>
      <c r="P5" s="3" t="s">
        <v>26</v>
      </c>
      <c r="Q5" s="6" t="s">
        <v>38</v>
      </c>
      <c r="R5" s="7">
        <v>9140875958</v>
      </c>
      <c r="S5" s="6" t="s">
        <v>39</v>
      </c>
      <c r="T5" s="44" t="s">
        <v>410</v>
      </c>
      <c r="U5" s="48"/>
      <c r="V5" s="79"/>
      <c r="W5" s="2">
        <v>18</v>
      </c>
      <c r="X5" s="2">
        <f t="shared" si="0"/>
        <v>78.260869565217391</v>
      </c>
      <c r="Y5" s="2">
        <v>15</v>
      </c>
      <c r="Z5" s="2">
        <f t="shared" si="1"/>
        <v>33</v>
      </c>
      <c r="AA5" s="2">
        <f t="shared" si="2"/>
        <v>84.615384615384613</v>
      </c>
      <c r="AB5" s="2">
        <v>24</v>
      </c>
      <c r="AC5" s="2">
        <f t="shared" si="3"/>
        <v>57</v>
      </c>
      <c r="AD5" s="2">
        <f t="shared" si="4"/>
        <v>87.692307692307693</v>
      </c>
      <c r="AE5" s="2">
        <v>15</v>
      </c>
      <c r="AF5" s="2">
        <f t="shared" si="5"/>
        <v>72</v>
      </c>
      <c r="AG5" s="2">
        <f t="shared" si="6"/>
        <v>82.758620689655174</v>
      </c>
      <c r="AH5" s="2">
        <v>14</v>
      </c>
      <c r="AI5" s="2">
        <v>8</v>
      </c>
      <c r="AJ5" s="2">
        <v>13</v>
      </c>
      <c r="AK5" s="2">
        <v>2</v>
      </c>
      <c r="AL5" s="2">
        <v>5</v>
      </c>
      <c r="AM5" s="2">
        <f t="shared" si="7"/>
        <v>42</v>
      </c>
      <c r="AN5" s="2" t="s">
        <v>568</v>
      </c>
      <c r="AO5" s="2" t="s">
        <v>569</v>
      </c>
      <c r="AP5" s="2" t="s">
        <v>570</v>
      </c>
      <c r="AQ5" s="2" t="s">
        <v>571</v>
      </c>
      <c r="AR5" s="2" t="s">
        <v>572</v>
      </c>
      <c r="AS5" s="2" t="s">
        <v>573</v>
      </c>
      <c r="AT5" s="2" t="s">
        <v>574</v>
      </c>
      <c r="AU5" s="2" t="s">
        <v>575</v>
      </c>
      <c r="AV5" s="2" t="s">
        <v>576</v>
      </c>
      <c r="AW5" s="2" t="s">
        <v>577</v>
      </c>
      <c r="AX5" s="2" t="s">
        <v>578</v>
      </c>
      <c r="AY5" s="2" t="s">
        <v>579</v>
      </c>
      <c r="AZ5" s="2" t="s">
        <v>580</v>
      </c>
      <c r="BA5" s="2" t="s">
        <v>581</v>
      </c>
      <c r="BB5" s="2" t="s">
        <v>582</v>
      </c>
      <c r="BC5" s="2" t="s">
        <v>583</v>
      </c>
      <c r="BD5" s="2" t="s">
        <v>584</v>
      </c>
      <c r="BE5" s="2" t="s">
        <v>585</v>
      </c>
      <c r="BF5" s="2" t="s">
        <v>586</v>
      </c>
      <c r="BG5" s="2" t="s">
        <v>587</v>
      </c>
      <c r="BH5" s="2" t="s">
        <v>588</v>
      </c>
      <c r="BI5" s="2" t="s">
        <v>589</v>
      </c>
      <c r="BJ5" s="2" t="s">
        <v>590</v>
      </c>
      <c r="BK5" s="2" t="s">
        <v>591</v>
      </c>
      <c r="BL5" s="2" t="s">
        <v>592</v>
      </c>
      <c r="BM5" s="2" t="s">
        <v>593</v>
      </c>
      <c r="BN5" s="2" t="s">
        <v>594</v>
      </c>
      <c r="BO5" s="2" t="s">
        <v>595</v>
      </c>
      <c r="BP5" s="2" t="s">
        <v>596</v>
      </c>
      <c r="BQ5" s="2" t="s">
        <v>597</v>
      </c>
    </row>
    <row r="6" spans="1:69" x14ac:dyDescent="0.35">
      <c r="A6" s="2">
        <v>5</v>
      </c>
      <c r="B6" s="2" t="s">
        <v>2062</v>
      </c>
      <c r="C6" s="3">
        <v>37239</v>
      </c>
      <c r="D6" s="3">
        <v>1252255535</v>
      </c>
      <c r="E6" s="2">
        <v>21326918699</v>
      </c>
      <c r="F6" s="10" t="s">
        <v>40</v>
      </c>
      <c r="G6" s="5" t="s">
        <v>41</v>
      </c>
      <c r="H6" s="5" t="s">
        <v>42</v>
      </c>
      <c r="I6" s="5" t="s">
        <v>32</v>
      </c>
      <c r="J6" s="11" t="s">
        <v>43</v>
      </c>
      <c r="K6" s="6" t="s">
        <v>44</v>
      </c>
      <c r="L6" s="6" t="s">
        <v>45</v>
      </c>
      <c r="M6" s="7" t="s">
        <v>23</v>
      </c>
      <c r="N6" s="8" t="s">
        <v>46</v>
      </c>
      <c r="O6" s="8" t="s">
        <v>47</v>
      </c>
      <c r="P6" s="3" t="s">
        <v>23</v>
      </c>
      <c r="Q6" s="6" t="s">
        <v>48</v>
      </c>
      <c r="R6" s="7">
        <v>7985412595</v>
      </c>
      <c r="S6" s="6" t="s">
        <v>49</v>
      </c>
      <c r="T6" s="44" t="s">
        <v>411</v>
      </c>
      <c r="U6" s="49" t="s">
        <v>412</v>
      </c>
      <c r="V6" s="79" t="s">
        <v>413</v>
      </c>
      <c r="W6" s="2">
        <v>10</v>
      </c>
      <c r="X6" s="2">
        <f t="shared" si="0"/>
        <v>43.478260869565219</v>
      </c>
      <c r="Y6" s="2">
        <v>14</v>
      </c>
      <c r="Z6" s="2">
        <f t="shared" si="1"/>
        <v>24</v>
      </c>
      <c r="AA6" s="2">
        <f t="shared" si="2"/>
        <v>61.53846153846154</v>
      </c>
      <c r="AB6" s="2">
        <v>20</v>
      </c>
      <c r="AC6" s="2">
        <f t="shared" si="3"/>
        <v>44</v>
      </c>
      <c r="AD6" s="2">
        <f t="shared" si="4"/>
        <v>67.692307692307693</v>
      </c>
      <c r="AE6" s="2">
        <v>20</v>
      </c>
      <c r="AF6" s="2">
        <f t="shared" si="5"/>
        <v>64</v>
      </c>
      <c r="AG6" s="2">
        <f t="shared" si="6"/>
        <v>73.563218390804593</v>
      </c>
      <c r="AH6" s="2">
        <v>13</v>
      </c>
      <c r="AI6" s="2">
        <v>1</v>
      </c>
      <c r="AJ6" s="2">
        <v>1</v>
      </c>
      <c r="AK6" s="2">
        <v>1</v>
      </c>
      <c r="AL6" s="2">
        <v>2</v>
      </c>
      <c r="AM6" s="2">
        <f t="shared" si="7"/>
        <v>18</v>
      </c>
      <c r="AN6" s="2" t="s">
        <v>598</v>
      </c>
      <c r="AO6" s="2" t="s">
        <v>599</v>
      </c>
      <c r="AP6" s="2" t="s">
        <v>600</v>
      </c>
      <c r="AQ6" s="2" t="s">
        <v>601</v>
      </c>
      <c r="AR6" s="2" t="s">
        <v>602</v>
      </c>
      <c r="AS6" s="2" t="s">
        <v>603</v>
      </c>
      <c r="AT6" s="2" t="s">
        <v>604</v>
      </c>
      <c r="AU6" s="2" t="s">
        <v>605</v>
      </c>
      <c r="AV6" s="2" t="s">
        <v>606</v>
      </c>
      <c r="AW6" s="2" t="s">
        <v>607</v>
      </c>
      <c r="AX6" s="2" t="s">
        <v>608</v>
      </c>
      <c r="AY6" s="2" t="s">
        <v>609</v>
      </c>
      <c r="AZ6" s="2" t="s">
        <v>610</v>
      </c>
      <c r="BA6" s="2" t="s">
        <v>611</v>
      </c>
      <c r="BB6" s="2" t="s">
        <v>612</v>
      </c>
      <c r="BC6" s="2" t="s">
        <v>613</v>
      </c>
      <c r="BD6" s="2" t="s">
        <v>614</v>
      </c>
      <c r="BE6" s="2" t="s">
        <v>615</v>
      </c>
      <c r="BF6" s="2" t="s">
        <v>616</v>
      </c>
      <c r="BG6" s="2" t="s">
        <v>617</v>
      </c>
      <c r="BH6" s="2" t="s">
        <v>618</v>
      </c>
      <c r="BI6" s="2" t="s">
        <v>619</v>
      </c>
      <c r="BJ6" s="2" t="s">
        <v>620</v>
      </c>
      <c r="BK6" s="2" t="s">
        <v>621</v>
      </c>
      <c r="BL6" s="2" t="s">
        <v>622</v>
      </c>
      <c r="BM6" s="2" t="s">
        <v>623</v>
      </c>
      <c r="BN6" s="2" t="s">
        <v>624</v>
      </c>
      <c r="BO6" s="2" t="s">
        <v>625</v>
      </c>
      <c r="BP6" s="2" t="s">
        <v>626</v>
      </c>
      <c r="BQ6" s="2" t="s">
        <v>627</v>
      </c>
    </row>
    <row r="7" spans="1:69" x14ac:dyDescent="0.35">
      <c r="A7" s="2">
        <v>6</v>
      </c>
      <c r="B7" s="2" t="s">
        <v>2062</v>
      </c>
      <c r="C7" s="3">
        <v>39030</v>
      </c>
      <c r="D7" s="3">
        <v>1252255545</v>
      </c>
      <c r="E7" s="2">
        <v>21092525382</v>
      </c>
      <c r="F7" s="10">
        <v>389857903391</v>
      </c>
      <c r="G7" s="5" t="s">
        <v>50</v>
      </c>
      <c r="H7" s="5" t="s">
        <v>42</v>
      </c>
      <c r="I7" s="5" t="s">
        <v>32</v>
      </c>
      <c r="J7" s="8" t="s">
        <v>51</v>
      </c>
      <c r="K7" s="8" t="s">
        <v>52</v>
      </c>
      <c r="L7" s="8" t="s">
        <v>53</v>
      </c>
      <c r="M7" s="7" t="s">
        <v>23</v>
      </c>
      <c r="N7" s="8" t="s">
        <v>54</v>
      </c>
      <c r="O7" s="8" t="s">
        <v>25</v>
      </c>
      <c r="P7" s="3" t="s">
        <v>26</v>
      </c>
      <c r="Q7" s="8" t="s">
        <v>55</v>
      </c>
      <c r="R7" s="7">
        <v>9598422808</v>
      </c>
      <c r="S7" s="12" t="s">
        <v>56</v>
      </c>
      <c r="T7" s="44" t="s">
        <v>410</v>
      </c>
      <c r="U7" s="48" t="s">
        <v>414</v>
      </c>
      <c r="V7" s="80" t="s">
        <v>414</v>
      </c>
      <c r="W7" s="2">
        <v>21</v>
      </c>
      <c r="X7" s="2">
        <f t="shared" si="0"/>
        <v>91.304347826086953</v>
      </c>
      <c r="Y7" s="2">
        <v>9</v>
      </c>
      <c r="Z7" s="2">
        <f t="shared" si="1"/>
        <v>30</v>
      </c>
      <c r="AA7" s="2">
        <f t="shared" si="2"/>
        <v>76.923076923076934</v>
      </c>
      <c r="AB7" s="2">
        <v>24</v>
      </c>
      <c r="AC7" s="2">
        <f t="shared" si="3"/>
        <v>54</v>
      </c>
      <c r="AD7" s="2">
        <f t="shared" si="4"/>
        <v>83.07692307692308</v>
      </c>
      <c r="AE7" s="2">
        <v>20</v>
      </c>
      <c r="AF7" s="2">
        <f t="shared" si="5"/>
        <v>74</v>
      </c>
      <c r="AG7" s="2">
        <f t="shared" si="6"/>
        <v>85.057471264367805</v>
      </c>
      <c r="AH7" s="2">
        <v>17</v>
      </c>
      <c r="AI7" s="2">
        <v>5</v>
      </c>
      <c r="AJ7" s="2">
        <v>15</v>
      </c>
      <c r="AK7" s="2">
        <v>1</v>
      </c>
      <c r="AL7" s="2">
        <v>6</v>
      </c>
      <c r="AM7" s="2">
        <f t="shared" si="7"/>
        <v>44</v>
      </c>
      <c r="AN7" s="2" t="s">
        <v>628</v>
      </c>
      <c r="AO7" s="2" t="s">
        <v>629</v>
      </c>
      <c r="AP7" s="2" t="s">
        <v>630</v>
      </c>
      <c r="AQ7" s="2" t="s">
        <v>631</v>
      </c>
      <c r="AR7" s="2" t="s">
        <v>632</v>
      </c>
      <c r="AS7" s="2" t="s">
        <v>633</v>
      </c>
      <c r="AT7" s="2" t="s">
        <v>634</v>
      </c>
      <c r="AU7" s="2" t="s">
        <v>635</v>
      </c>
      <c r="AV7" s="2" t="s">
        <v>636</v>
      </c>
      <c r="AW7" s="2" t="s">
        <v>637</v>
      </c>
      <c r="AX7" s="2" t="s">
        <v>638</v>
      </c>
      <c r="AY7" s="2" t="s">
        <v>639</v>
      </c>
      <c r="AZ7" s="2" t="s">
        <v>640</v>
      </c>
      <c r="BA7" s="2" t="s">
        <v>641</v>
      </c>
      <c r="BB7" s="2" t="s">
        <v>642</v>
      </c>
      <c r="BC7" s="2" t="s">
        <v>643</v>
      </c>
      <c r="BD7" s="2" t="s">
        <v>644</v>
      </c>
      <c r="BE7" s="2" t="s">
        <v>645</v>
      </c>
      <c r="BF7" s="2" t="s">
        <v>646</v>
      </c>
      <c r="BG7" s="2" t="s">
        <v>647</v>
      </c>
      <c r="BH7" s="2" t="s">
        <v>648</v>
      </c>
      <c r="BI7" s="2" t="s">
        <v>649</v>
      </c>
      <c r="BJ7" s="2" t="s">
        <v>650</v>
      </c>
      <c r="BK7" s="2" t="s">
        <v>651</v>
      </c>
      <c r="BL7" s="2" t="s">
        <v>652</v>
      </c>
      <c r="BM7" s="2" t="s">
        <v>653</v>
      </c>
      <c r="BN7" s="2" t="s">
        <v>654</v>
      </c>
      <c r="BO7" s="2" t="s">
        <v>655</v>
      </c>
      <c r="BP7" s="2" t="s">
        <v>656</v>
      </c>
      <c r="BQ7" s="2" t="s">
        <v>657</v>
      </c>
    </row>
    <row r="8" spans="1:69" x14ac:dyDescent="0.35">
      <c r="A8" s="2">
        <v>7</v>
      </c>
      <c r="B8" s="2" t="s">
        <v>2062</v>
      </c>
      <c r="C8" s="3">
        <v>39056</v>
      </c>
      <c r="D8" s="3">
        <v>1252255548</v>
      </c>
      <c r="E8" s="2">
        <v>21573201849</v>
      </c>
      <c r="F8" s="10">
        <v>940879560324</v>
      </c>
      <c r="G8" s="5" t="s">
        <v>57</v>
      </c>
      <c r="H8" s="5" t="s">
        <v>57</v>
      </c>
      <c r="I8" s="5" t="s">
        <v>58</v>
      </c>
      <c r="J8" s="6" t="s">
        <v>59</v>
      </c>
      <c r="K8" s="13" t="s">
        <v>60</v>
      </c>
      <c r="L8" s="13" t="s">
        <v>61</v>
      </c>
      <c r="M8" s="7" t="s">
        <v>23</v>
      </c>
      <c r="N8" s="14" t="s">
        <v>62</v>
      </c>
      <c r="O8" s="14" t="s">
        <v>25</v>
      </c>
      <c r="P8" s="3" t="s">
        <v>26</v>
      </c>
      <c r="Q8" s="13" t="s">
        <v>63</v>
      </c>
      <c r="R8" s="3">
        <v>9519725292</v>
      </c>
      <c r="S8" s="6" t="s">
        <v>64</v>
      </c>
      <c r="T8" s="50" t="s">
        <v>410</v>
      </c>
      <c r="U8" s="51"/>
      <c r="V8" s="81"/>
      <c r="W8" s="2">
        <v>18</v>
      </c>
      <c r="X8" s="2">
        <f t="shared" si="0"/>
        <v>78.260869565217391</v>
      </c>
      <c r="Y8" s="2">
        <v>10</v>
      </c>
      <c r="Z8" s="2">
        <f t="shared" si="1"/>
        <v>28</v>
      </c>
      <c r="AA8" s="2">
        <f t="shared" si="2"/>
        <v>71.794871794871796</v>
      </c>
      <c r="AB8" s="2">
        <v>22</v>
      </c>
      <c r="AC8" s="2">
        <f t="shared" si="3"/>
        <v>50</v>
      </c>
      <c r="AD8" s="2">
        <f t="shared" si="4"/>
        <v>76.923076923076934</v>
      </c>
      <c r="AE8" s="2">
        <v>17</v>
      </c>
      <c r="AF8" s="2">
        <f t="shared" si="5"/>
        <v>67</v>
      </c>
      <c r="AG8" s="2">
        <f t="shared" si="6"/>
        <v>77.011494252873561</v>
      </c>
      <c r="AH8" s="2">
        <v>17</v>
      </c>
      <c r="AI8" s="2">
        <v>12</v>
      </c>
      <c r="AJ8" s="2">
        <v>18</v>
      </c>
      <c r="AK8" s="2">
        <v>15</v>
      </c>
      <c r="AL8" s="2">
        <v>14</v>
      </c>
      <c r="AM8" s="2">
        <f t="shared" si="7"/>
        <v>76</v>
      </c>
      <c r="AN8" s="2" t="s">
        <v>658</v>
      </c>
      <c r="AO8" s="2" t="s">
        <v>659</v>
      </c>
      <c r="AP8" s="2" t="s">
        <v>660</v>
      </c>
      <c r="AQ8" s="2" t="s">
        <v>661</v>
      </c>
      <c r="AR8" s="2" t="s">
        <v>662</v>
      </c>
      <c r="AS8" s="2" t="s">
        <v>663</v>
      </c>
      <c r="AT8" s="2" t="s">
        <v>664</v>
      </c>
      <c r="AU8" s="2" t="s">
        <v>665</v>
      </c>
      <c r="AV8" s="2" t="s">
        <v>666</v>
      </c>
      <c r="AW8" s="2" t="s">
        <v>667</v>
      </c>
      <c r="AX8" s="2" t="s">
        <v>668</v>
      </c>
      <c r="AY8" s="2" t="s">
        <v>669</v>
      </c>
      <c r="AZ8" s="2" t="s">
        <v>670</v>
      </c>
      <c r="BA8" s="2" t="s">
        <v>671</v>
      </c>
      <c r="BB8" s="2" t="s">
        <v>672</v>
      </c>
      <c r="BC8" s="2" t="s">
        <v>673</v>
      </c>
      <c r="BD8" s="2" t="s">
        <v>674</v>
      </c>
      <c r="BE8" s="2" t="s">
        <v>675</v>
      </c>
      <c r="BF8" s="2" t="s">
        <v>676</v>
      </c>
      <c r="BG8" s="2" t="s">
        <v>677</v>
      </c>
      <c r="BH8" s="2" t="s">
        <v>678</v>
      </c>
      <c r="BI8" s="2" t="s">
        <v>679</v>
      </c>
      <c r="BJ8" s="2" t="s">
        <v>680</v>
      </c>
      <c r="BK8" s="2" t="s">
        <v>681</v>
      </c>
      <c r="BL8" s="2" t="s">
        <v>682</v>
      </c>
      <c r="BM8" s="2" t="s">
        <v>683</v>
      </c>
      <c r="BN8" s="2" t="s">
        <v>684</v>
      </c>
      <c r="BO8" s="2" t="s">
        <v>685</v>
      </c>
      <c r="BP8" s="2" t="s">
        <v>686</v>
      </c>
      <c r="BQ8" s="2" t="s">
        <v>687</v>
      </c>
    </row>
    <row r="9" spans="1:69" x14ac:dyDescent="0.35">
      <c r="A9" s="2">
        <v>8</v>
      </c>
      <c r="B9" s="2" t="s">
        <v>2062</v>
      </c>
      <c r="C9" s="3">
        <v>40121</v>
      </c>
      <c r="D9" s="3">
        <v>1252267352</v>
      </c>
      <c r="E9" s="2">
        <v>21327890764</v>
      </c>
      <c r="F9" s="4" t="s">
        <v>230</v>
      </c>
      <c r="G9" s="5" t="s">
        <v>57</v>
      </c>
      <c r="H9" s="5" t="s">
        <v>57</v>
      </c>
      <c r="I9" s="5" t="s">
        <v>19</v>
      </c>
      <c r="J9" s="6" t="s">
        <v>231</v>
      </c>
      <c r="K9" s="6" t="s">
        <v>232</v>
      </c>
      <c r="L9" s="6" t="s">
        <v>233</v>
      </c>
      <c r="M9" s="7" t="s">
        <v>23</v>
      </c>
      <c r="N9" s="8" t="s">
        <v>234</v>
      </c>
      <c r="O9" s="8" t="s">
        <v>25</v>
      </c>
      <c r="P9" s="3" t="s">
        <v>26</v>
      </c>
      <c r="Q9" s="6" t="s">
        <v>235</v>
      </c>
      <c r="R9" s="7">
        <v>8400510565</v>
      </c>
      <c r="S9" s="9" t="s">
        <v>236</v>
      </c>
      <c r="T9" s="46" t="s">
        <v>410</v>
      </c>
      <c r="U9" s="47"/>
      <c r="V9" s="78"/>
      <c r="W9" s="2">
        <v>21</v>
      </c>
      <c r="X9" s="2">
        <f t="shared" si="0"/>
        <v>91.304347826086953</v>
      </c>
      <c r="Y9" s="2">
        <v>15</v>
      </c>
      <c r="Z9" s="2">
        <f t="shared" si="1"/>
        <v>36</v>
      </c>
      <c r="AA9" s="2">
        <f t="shared" si="2"/>
        <v>92.307692307692307</v>
      </c>
      <c r="AB9" s="2">
        <v>22</v>
      </c>
      <c r="AC9" s="2">
        <f t="shared" si="3"/>
        <v>58</v>
      </c>
      <c r="AD9" s="2">
        <f t="shared" si="4"/>
        <v>89.230769230769241</v>
      </c>
      <c r="AE9" s="2">
        <v>19</v>
      </c>
      <c r="AF9" s="2">
        <f t="shared" si="5"/>
        <v>77</v>
      </c>
      <c r="AG9" s="2">
        <f t="shared" si="6"/>
        <v>88.505747126436788</v>
      </c>
      <c r="AH9" s="2">
        <v>17</v>
      </c>
      <c r="AI9" s="2">
        <v>12</v>
      </c>
      <c r="AJ9" s="2">
        <v>16</v>
      </c>
      <c r="AK9" s="2">
        <v>9</v>
      </c>
      <c r="AL9" s="2">
        <v>7</v>
      </c>
      <c r="AM9" s="87">
        <f t="shared" si="7"/>
        <v>61</v>
      </c>
      <c r="AN9" s="2" t="s">
        <v>688</v>
      </c>
      <c r="AO9" s="2" t="s">
        <v>689</v>
      </c>
      <c r="AP9" s="2" t="s">
        <v>690</v>
      </c>
      <c r="AQ9" s="2" t="s">
        <v>691</v>
      </c>
      <c r="AR9" s="2" t="s">
        <v>692</v>
      </c>
      <c r="AS9" s="2" t="s">
        <v>693</v>
      </c>
      <c r="AT9" s="2" t="s">
        <v>694</v>
      </c>
      <c r="AU9" s="2" t="s">
        <v>695</v>
      </c>
      <c r="AV9" s="2" t="s">
        <v>696</v>
      </c>
      <c r="AW9" s="2" t="s">
        <v>697</v>
      </c>
      <c r="AX9" s="2" t="s">
        <v>698</v>
      </c>
      <c r="AY9" s="2" t="s">
        <v>699</v>
      </c>
      <c r="AZ9" s="2" t="s">
        <v>700</v>
      </c>
      <c r="BA9" s="2" t="s">
        <v>701</v>
      </c>
      <c r="BB9" s="2" t="s">
        <v>702</v>
      </c>
      <c r="BC9" s="2" t="s">
        <v>703</v>
      </c>
      <c r="BD9" s="2" t="s">
        <v>704</v>
      </c>
      <c r="BE9" s="2" t="s">
        <v>705</v>
      </c>
      <c r="BF9" s="2" t="s">
        <v>706</v>
      </c>
      <c r="BG9" s="2" t="s">
        <v>707</v>
      </c>
      <c r="BH9" s="2" t="s">
        <v>708</v>
      </c>
      <c r="BI9" s="2" t="s">
        <v>709</v>
      </c>
      <c r="BJ9" s="2" t="s">
        <v>710</v>
      </c>
      <c r="BK9" s="2" t="s">
        <v>711</v>
      </c>
      <c r="BL9" s="2" t="s">
        <v>712</v>
      </c>
      <c r="BM9" s="2" t="s">
        <v>713</v>
      </c>
      <c r="BN9" s="2" t="s">
        <v>714</v>
      </c>
      <c r="BO9" s="2" t="s">
        <v>715</v>
      </c>
      <c r="BP9" s="2" t="s">
        <v>716</v>
      </c>
      <c r="BQ9" s="2" t="s">
        <v>717</v>
      </c>
    </row>
    <row r="10" spans="1:69" x14ac:dyDescent="0.35">
      <c r="A10" s="2">
        <v>9</v>
      </c>
      <c r="B10" s="2" t="s">
        <v>2062</v>
      </c>
      <c r="C10" s="3">
        <v>39032</v>
      </c>
      <c r="D10" s="3">
        <v>1252255554</v>
      </c>
      <c r="E10" s="2">
        <v>22786885814</v>
      </c>
      <c r="F10" s="10">
        <v>387090609033</v>
      </c>
      <c r="G10" s="5">
        <v>20</v>
      </c>
      <c r="H10" s="5" t="s">
        <v>65</v>
      </c>
      <c r="I10" s="5">
        <v>2008</v>
      </c>
      <c r="J10" s="66" t="s">
        <v>66</v>
      </c>
      <c r="K10" s="8" t="s">
        <v>67</v>
      </c>
      <c r="L10" s="8" t="s">
        <v>68</v>
      </c>
      <c r="M10" s="7" t="s">
        <v>23</v>
      </c>
      <c r="N10" s="8" t="s">
        <v>69</v>
      </c>
      <c r="O10" s="8" t="s">
        <v>25</v>
      </c>
      <c r="P10" s="3" t="s">
        <v>26</v>
      </c>
      <c r="Q10" s="8" t="s">
        <v>70</v>
      </c>
      <c r="R10" s="7">
        <v>8090498955</v>
      </c>
      <c r="S10" s="12" t="s">
        <v>71</v>
      </c>
      <c r="T10" s="44" t="s">
        <v>415</v>
      </c>
      <c r="U10" s="48" t="s">
        <v>414</v>
      </c>
      <c r="V10" s="80" t="s">
        <v>414</v>
      </c>
      <c r="W10" s="2">
        <v>0</v>
      </c>
      <c r="X10" s="2">
        <f t="shared" si="0"/>
        <v>0</v>
      </c>
      <c r="Y10" s="2">
        <v>16</v>
      </c>
      <c r="Z10" s="2">
        <f t="shared" si="1"/>
        <v>16</v>
      </c>
      <c r="AA10" s="2">
        <f t="shared" si="2"/>
        <v>41.025641025641022</v>
      </c>
      <c r="AB10" s="2">
        <v>26</v>
      </c>
      <c r="AC10" s="2">
        <f t="shared" si="3"/>
        <v>42</v>
      </c>
      <c r="AD10" s="2">
        <f t="shared" si="4"/>
        <v>64.615384615384613</v>
      </c>
      <c r="AE10" s="2">
        <v>20</v>
      </c>
      <c r="AF10" s="2">
        <f t="shared" si="5"/>
        <v>62</v>
      </c>
      <c r="AG10" s="2">
        <f t="shared" si="6"/>
        <v>71.264367816091962</v>
      </c>
      <c r="AH10" s="2">
        <v>17</v>
      </c>
      <c r="AI10" s="2">
        <v>18</v>
      </c>
      <c r="AJ10" s="2">
        <v>19</v>
      </c>
      <c r="AK10" s="2">
        <v>18</v>
      </c>
      <c r="AL10" s="2">
        <v>15</v>
      </c>
      <c r="AM10" s="2">
        <f t="shared" si="7"/>
        <v>87</v>
      </c>
      <c r="AN10" s="2" t="s">
        <v>718</v>
      </c>
      <c r="AO10" s="2" t="s">
        <v>719</v>
      </c>
      <c r="AP10" s="2" t="s">
        <v>720</v>
      </c>
      <c r="AQ10" s="2" t="s">
        <v>721</v>
      </c>
      <c r="AR10" s="2" t="s">
        <v>722</v>
      </c>
      <c r="AS10" s="2" t="s">
        <v>723</v>
      </c>
      <c r="AT10" s="2" t="s">
        <v>724</v>
      </c>
      <c r="AU10" s="2" t="s">
        <v>725</v>
      </c>
      <c r="AV10" s="2" t="s">
        <v>726</v>
      </c>
      <c r="AW10" s="2" t="s">
        <v>727</v>
      </c>
      <c r="AX10" s="2" t="s">
        <v>728</v>
      </c>
      <c r="AY10" s="2" t="s">
        <v>729</v>
      </c>
      <c r="AZ10" s="2" t="s">
        <v>730</v>
      </c>
      <c r="BA10" s="2" t="s">
        <v>731</v>
      </c>
      <c r="BB10" s="2" t="s">
        <v>732</v>
      </c>
      <c r="BC10" s="2" t="s">
        <v>733</v>
      </c>
      <c r="BD10" s="2" t="s">
        <v>734</v>
      </c>
      <c r="BE10" s="2" t="s">
        <v>735</v>
      </c>
      <c r="BF10" s="2" t="s">
        <v>736</v>
      </c>
      <c r="BG10" s="2" t="s">
        <v>737</v>
      </c>
      <c r="BH10" s="2" t="s">
        <v>738</v>
      </c>
      <c r="BI10" s="2" t="s">
        <v>739</v>
      </c>
      <c r="BJ10" s="2" t="s">
        <v>740</v>
      </c>
      <c r="BK10" s="2" t="s">
        <v>741</v>
      </c>
      <c r="BL10" s="2" t="s">
        <v>742</v>
      </c>
      <c r="BM10" s="2" t="s">
        <v>743</v>
      </c>
      <c r="BN10" s="2" t="s">
        <v>744</v>
      </c>
      <c r="BO10" s="2" t="s">
        <v>745</v>
      </c>
      <c r="BP10" s="2" t="s">
        <v>746</v>
      </c>
      <c r="BQ10" s="2" t="s">
        <v>747</v>
      </c>
    </row>
    <row r="11" spans="1:69" x14ac:dyDescent="0.35">
      <c r="A11" s="2">
        <v>10</v>
      </c>
      <c r="B11" s="2" t="s">
        <v>2062</v>
      </c>
      <c r="C11" s="7">
        <v>39076</v>
      </c>
      <c r="D11" s="3">
        <v>1252255566</v>
      </c>
      <c r="E11" s="31">
        <v>21052522520</v>
      </c>
      <c r="F11" s="10" t="s">
        <v>246</v>
      </c>
      <c r="G11" s="17" t="s">
        <v>57</v>
      </c>
      <c r="H11" s="17" t="s">
        <v>57</v>
      </c>
      <c r="I11" s="5" t="s">
        <v>58</v>
      </c>
      <c r="J11" s="20" t="s">
        <v>247</v>
      </c>
      <c r="K11" s="8" t="s">
        <v>248</v>
      </c>
      <c r="L11" s="8" t="s">
        <v>239</v>
      </c>
      <c r="M11" s="7" t="s">
        <v>23</v>
      </c>
      <c r="N11" s="14" t="s">
        <v>24</v>
      </c>
      <c r="O11" s="14" t="s">
        <v>25</v>
      </c>
      <c r="P11" s="3" t="s">
        <v>26</v>
      </c>
      <c r="Q11" s="8" t="s">
        <v>249</v>
      </c>
      <c r="R11" s="32">
        <v>8858353002</v>
      </c>
      <c r="S11" s="33" t="s">
        <v>250</v>
      </c>
      <c r="T11" s="44" t="s">
        <v>411</v>
      </c>
      <c r="U11" s="71" t="s">
        <v>416</v>
      </c>
      <c r="V11" s="79" t="s">
        <v>417</v>
      </c>
      <c r="W11" s="2">
        <v>23</v>
      </c>
      <c r="X11" s="2">
        <f t="shared" si="0"/>
        <v>100</v>
      </c>
      <c r="Y11" s="2">
        <v>16</v>
      </c>
      <c r="Z11" s="2">
        <f t="shared" si="1"/>
        <v>39</v>
      </c>
      <c r="AA11" s="2">
        <f t="shared" si="2"/>
        <v>100</v>
      </c>
      <c r="AB11" s="2">
        <v>25</v>
      </c>
      <c r="AC11" s="2">
        <f t="shared" si="3"/>
        <v>64</v>
      </c>
      <c r="AD11" s="2">
        <f t="shared" si="4"/>
        <v>98.461538461538467</v>
      </c>
      <c r="AE11" s="2">
        <v>20</v>
      </c>
      <c r="AF11" s="2">
        <f t="shared" si="5"/>
        <v>84</v>
      </c>
      <c r="AG11" s="2">
        <f t="shared" si="6"/>
        <v>96.551724137931032</v>
      </c>
      <c r="AH11" s="2">
        <v>14</v>
      </c>
      <c r="AI11" s="2">
        <v>5</v>
      </c>
      <c r="AJ11" s="2">
        <v>15</v>
      </c>
      <c r="AK11" s="2">
        <v>5</v>
      </c>
      <c r="AL11" s="2">
        <v>5</v>
      </c>
      <c r="AM11" s="2">
        <f t="shared" si="7"/>
        <v>44</v>
      </c>
      <c r="AN11" s="2" t="s">
        <v>748</v>
      </c>
      <c r="AO11" s="2" t="s">
        <v>749</v>
      </c>
      <c r="AP11" s="2" t="s">
        <v>750</v>
      </c>
      <c r="AQ11" s="2" t="s">
        <v>751</v>
      </c>
      <c r="AR11" s="2" t="s">
        <v>752</v>
      </c>
      <c r="AS11" s="2" t="s">
        <v>753</v>
      </c>
      <c r="AT11" s="2" t="s">
        <v>754</v>
      </c>
      <c r="AU11" s="2" t="s">
        <v>755</v>
      </c>
      <c r="AV11" s="2" t="s">
        <v>756</v>
      </c>
      <c r="AW11" s="2" t="s">
        <v>757</v>
      </c>
      <c r="AX11" s="2" t="s">
        <v>758</v>
      </c>
      <c r="AY11" s="2" t="s">
        <v>759</v>
      </c>
      <c r="AZ11" s="2" t="s">
        <v>760</v>
      </c>
      <c r="BA11" s="2" t="s">
        <v>761</v>
      </c>
      <c r="BB11" s="2" t="s">
        <v>762</v>
      </c>
      <c r="BC11" s="2" t="s">
        <v>763</v>
      </c>
      <c r="BD11" s="2" t="s">
        <v>764</v>
      </c>
      <c r="BE11" s="2" t="s">
        <v>765</v>
      </c>
      <c r="BF11" s="2" t="s">
        <v>766</v>
      </c>
      <c r="BG11" s="2" t="s">
        <v>767</v>
      </c>
      <c r="BH11" s="2" t="s">
        <v>768</v>
      </c>
      <c r="BI11" s="2" t="s">
        <v>769</v>
      </c>
      <c r="BJ11" s="2" t="s">
        <v>770</v>
      </c>
      <c r="BK11" s="2" t="s">
        <v>771</v>
      </c>
      <c r="BL11" s="2" t="s">
        <v>772</v>
      </c>
      <c r="BM11" s="2" t="s">
        <v>773</v>
      </c>
      <c r="BN11" s="2" t="s">
        <v>774</v>
      </c>
      <c r="BO11" s="2" t="s">
        <v>775</v>
      </c>
      <c r="BP11" s="2" t="s">
        <v>776</v>
      </c>
      <c r="BQ11" s="2" t="s">
        <v>777</v>
      </c>
    </row>
    <row r="12" spans="1:69" ht="16.5" x14ac:dyDescent="0.35">
      <c r="A12" s="2">
        <v>11</v>
      </c>
      <c r="B12" s="2" t="s">
        <v>2062</v>
      </c>
      <c r="C12" s="15">
        <v>39096</v>
      </c>
      <c r="D12" s="3">
        <v>1252255569</v>
      </c>
      <c r="E12" s="2">
        <v>21499203466</v>
      </c>
      <c r="F12" s="8" t="s">
        <v>72</v>
      </c>
      <c r="G12" s="16" t="s">
        <v>73</v>
      </c>
      <c r="H12" s="16" t="s">
        <v>74</v>
      </c>
      <c r="I12" s="16" t="s">
        <v>32</v>
      </c>
      <c r="J12" s="6" t="s">
        <v>75</v>
      </c>
      <c r="K12" s="6" t="s">
        <v>76</v>
      </c>
      <c r="L12" s="6" t="s">
        <v>77</v>
      </c>
      <c r="M12" s="7" t="s">
        <v>23</v>
      </c>
      <c r="N12" s="8" t="s">
        <v>24</v>
      </c>
      <c r="O12" s="8" t="s">
        <v>25</v>
      </c>
      <c r="P12" s="3" t="s">
        <v>26</v>
      </c>
      <c r="Q12" s="6" t="s">
        <v>78</v>
      </c>
      <c r="R12" s="7">
        <v>9695268145</v>
      </c>
      <c r="S12" s="9" t="s">
        <v>79</v>
      </c>
      <c r="T12" s="44" t="s">
        <v>410</v>
      </c>
      <c r="U12" s="45"/>
      <c r="V12" s="77"/>
      <c r="W12" s="2">
        <v>15</v>
      </c>
      <c r="X12" s="2">
        <f t="shared" si="0"/>
        <v>65.217391304347828</v>
      </c>
      <c r="Y12" s="2">
        <v>10</v>
      </c>
      <c r="Z12" s="2">
        <f t="shared" si="1"/>
        <v>25</v>
      </c>
      <c r="AA12" s="2">
        <f t="shared" si="2"/>
        <v>64.102564102564102</v>
      </c>
      <c r="AB12" s="2">
        <v>21</v>
      </c>
      <c r="AC12" s="2">
        <f t="shared" si="3"/>
        <v>46</v>
      </c>
      <c r="AD12" s="2">
        <f t="shared" si="4"/>
        <v>70.769230769230774</v>
      </c>
      <c r="AE12" s="2">
        <v>20</v>
      </c>
      <c r="AF12" s="2">
        <f t="shared" si="5"/>
        <v>66</v>
      </c>
      <c r="AG12" s="2">
        <f t="shared" si="6"/>
        <v>75.862068965517238</v>
      </c>
      <c r="AH12" s="2">
        <v>11</v>
      </c>
      <c r="AI12" s="2">
        <v>0</v>
      </c>
      <c r="AJ12" s="2">
        <v>9</v>
      </c>
      <c r="AK12" s="2">
        <v>2</v>
      </c>
      <c r="AL12" s="2">
        <v>3</v>
      </c>
      <c r="AM12" s="2">
        <f t="shared" si="7"/>
        <v>25</v>
      </c>
      <c r="AN12" s="2" t="s">
        <v>778</v>
      </c>
      <c r="AO12" s="2" t="s">
        <v>779</v>
      </c>
      <c r="AP12" s="2" t="s">
        <v>780</v>
      </c>
      <c r="AQ12" s="2" t="s">
        <v>781</v>
      </c>
      <c r="AR12" s="2" t="s">
        <v>782</v>
      </c>
      <c r="AS12" s="2" t="s">
        <v>783</v>
      </c>
      <c r="AT12" s="2" t="s">
        <v>784</v>
      </c>
      <c r="AU12" s="2" t="s">
        <v>785</v>
      </c>
      <c r="AV12" s="2" t="s">
        <v>786</v>
      </c>
      <c r="AW12" s="2" t="s">
        <v>787</v>
      </c>
      <c r="AX12" s="2" t="s">
        <v>788</v>
      </c>
      <c r="AY12" s="2" t="s">
        <v>789</v>
      </c>
      <c r="AZ12" s="2" t="s">
        <v>790</v>
      </c>
      <c r="BA12" s="2" t="s">
        <v>791</v>
      </c>
      <c r="BB12" s="2" t="s">
        <v>792</v>
      </c>
      <c r="BC12" s="2" t="s">
        <v>793</v>
      </c>
      <c r="BD12" s="2" t="s">
        <v>794</v>
      </c>
      <c r="BE12" s="2" t="s">
        <v>795</v>
      </c>
      <c r="BF12" s="2" t="s">
        <v>796</v>
      </c>
      <c r="BG12" s="2" t="s">
        <v>797</v>
      </c>
      <c r="BH12" s="2" t="s">
        <v>798</v>
      </c>
      <c r="BI12" s="2" t="s">
        <v>799</v>
      </c>
      <c r="BJ12" s="2" t="s">
        <v>800</v>
      </c>
      <c r="BK12" s="2" t="s">
        <v>801</v>
      </c>
      <c r="BL12" s="2" t="s">
        <v>802</v>
      </c>
      <c r="BM12" s="2" t="s">
        <v>803</v>
      </c>
      <c r="BN12" s="2" t="s">
        <v>804</v>
      </c>
      <c r="BO12" s="2" t="s">
        <v>805</v>
      </c>
      <c r="BP12" s="2" t="s">
        <v>806</v>
      </c>
      <c r="BQ12" s="2" t="s">
        <v>807</v>
      </c>
    </row>
    <row r="13" spans="1:69" x14ac:dyDescent="0.35">
      <c r="A13" s="2">
        <v>12</v>
      </c>
      <c r="B13" s="2" t="s">
        <v>2062</v>
      </c>
      <c r="C13" s="3">
        <v>37170</v>
      </c>
      <c r="D13" s="3">
        <v>1252255575</v>
      </c>
      <c r="E13" s="2">
        <v>21245074882</v>
      </c>
      <c r="F13" s="10">
        <v>572604048622</v>
      </c>
      <c r="G13" s="5" t="s">
        <v>73</v>
      </c>
      <c r="H13" s="5" t="s">
        <v>89</v>
      </c>
      <c r="I13" s="5" t="s">
        <v>19</v>
      </c>
      <c r="J13" s="67" t="s">
        <v>82</v>
      </c>
      <c r="K13" s="6" t="s">
        <v>90</v>
      </c>
      <c r="L13" s="6" t="s">
        <v>91</v>
      </c>
      <c r="M13" s="7" t="s">
        <v>23</v>
      </c>
      <c r="N13" s="8" t="s">
        <v>92</v>
      </c>
      <c r="O13" s="8" t="s">
        <v>25</v>
      </c>
      <c r="P13" s="3" t="s">
        <v>26</v>
      </c>
      <c r="Q13" s="6" t="s">
        <v>63</v>
      </c>
      <c r="R13" s="7">
        <v>7398694084</v>
      </c>
      <c r="S13" s="6" t="s">
        <v>93</v>
      </c>
      <c r="T13" s="44" t="s">
        <v>415</v>
      </c>
      <c r="U13" s="48" t="s">
        <v>414</v>
      </c>
      <c r="V13" s="79" t="s">
        <v>414</v>
      </c>
      <c r="W13" s="2">
        <v>21</v>
      </c>
      <c r="X13" s="2">
        <f t="shared" si="0"/>
        <v>91.304347826086953</v>
      </c>
      <c r="Y13" s="2">
        <v>15</v>
      </c>
      <c r="Z13" s="2">
        <f t="shared" si="1"/>
        <v>36</v>
      </c>
      <c r="AA13" s="2">
        <f t="shared" si="2"/>
        <v>92.307692307692307</v>
      </c>
      <c r="AB13" s="2">
        <v>26</v>
      </c>
      <c r="AC13" s="2">
        <f t="shared" si="3"/>
        <v>62</v>
      </c>
      <c r="AD13" s="2">
        <f t="shared" si="4"/>
        <v>95.384615384615387</v>
      </c>
      <c r="AE13" s="2">
        <v>22</v>
      </c>
      <c r="AF13" s="2">
        <f t="shared" si="5"/>
        <v>84</v>
      </c>
      <c r="AG13" s="2">
        <f t="shared" si="6"/>
        <v>96.551724137931032</v>
      </c>
      <c r="AH13" s="2">
        <v>9</v>
      </c>
      <c r="AI13" s="2">
        <v>0</v>
      </c>
      <c r="AJ13" s="2">
        <v>11</v>
      </c>
      <c r="AK13" s="2">
        <v>10</v>
      </c>
      <c r="AL13" s="2">
        <v>0</v>
      </c>
      <c r="AM13" s="2">
        <f t="shared" si="7"/>
        <v>30</v>
      </c>
      <c r="AN13" s="2" t="s">
        <v>808</v>
      </c>
      <c r="AO13" s="2" t="s">
        <v>809</v>
      </c>
      <c r="AP13" s="2" t="s">
        <v>810</v>
      </c>
      <c r="AQ13" s="2" t="s">
        <v>811</v>
      </c>
      <c r="AR13" s="2" t="s">
        <v>812</v>
      </c>
      <c r="AS13" s="2" t="s">
        <v>813</v>
      </c>
      <c r="AT13" s="2" t="s">
        <v>814</v>
      </c>
      <c r="AU13" s="2" t="s">
        <v>815</v>
      </c>
      <c r="AV13" s="2" t="s">
        <v>816</v>
      </c>
      <c r="AW13" s="2" t="s">
        <v>817</v>
      </c>
      <c r="AX13" s="2" t="s">
        <v>818</v>
      </c>
      <c r="AY13" s="2" t="s">
        <v>819</v>
      </c>
      <c r="AZ13" s="2" t="s">
        <v>820</v>
      </c>
      <c r="BA13" s="2" t="s">
        <v>821</v>
      </c>
      <c r="BB13" s="2" t="s">
        <v>822</v>
      </c>
      <c r="BC13" s="2" t="s">
        <v>823</v>
      </c>
      <c r="BD13" s="2" t="s">
        <v>824</v>
      </c>
      <c r="BE13" s="2" t="s">
        <v>825</v>
      </c>
      <c r="BF13" s="2" t="s">
        <v>826</v>
      </c>
      <c r="BG13" s="2" t="s">
        <v>827</v>
      </c>
      <c r="BH13" s="2" t="s">
        <v>828</v>
      </c>
      <c r="BI13" s="2" t="s">
        <v>829</v>
      </c>
      <c r="BJ13" s="2" t="s">
        <v>830</v>
      </c>
      <c r="BK13" s="2" t="s">
        <v>831</v>
      </c>
      <c r="BL13" s="2" t="s">
        <v>832</v>
      </c>
      <c r="BM13" s="2" t="s">
        <v>833</v>
      </c>
      <c r="BN13" s="2" t="s">
        <v>834</v>
      </c>
      <c r="BO13" s="2" t="s">
        <v>835</v>
      </c>
      <c r="BP13" s="2" t="s">
        <v>836</v>
      </c>
      <c r="BQ13" s="2" t="s">
        <v>837</v>
      </c>
    </row>
    <row r="14" spans="1:69" x14ac:dyDescent="0.35">
      <c r="A14" s="2">
        <v>13</v>
      </c>
      <c r="B14" s="2" t="s">
        <v>2062</v>
      </c>
      <c r="C14" s="3">
        <v>37217</v>
      </c>
      <c r="D14" s="3">
        <v>1252255571</v>
      </c>
      <c r="E14" s="2">
        <v>21499651012</v>
      </c>
      <c r="F14" s="10" t="s">
        <v>80</v>
      </c>
      <c r="G14" s="5" t="s">
        <v>81</v>
      </c>
      <c r="H14" s="5" t="s">
        <v>65</v>
      </c>
      <c r="I14" s="5" t="s">
        <v>32</v>
      </c>
      <c r="J14" s="6" t="s">
        <v>82</v>
      </c>
      <c r="K14" s="6" t="s">
        <v>83</v>
      </c>
      <c r="L14" s="6" t="s">
        <v>84</v>
      </c>
      <c r="M14" s="7" t="s">
        <v>23</v>
      </c>
      <c r="N14" s="8" t="s">
        <v>85</v>
      </c>
      <c r="O14" s="8" t="s">
        <v>86</v>
      </c>
      <c r="P14" s="3" t="s">
        <v>26</v>
      </c>
      <c r="Q14" s="6" t="s">
        <v>87</v>
      </c>
      <c r="R14" s="7">
        <v>8953295243</v>
      </c>
      <c r="S14" s="6" t="s">
        <v>88</v>
      </c>
      <c r="T14" s="44" t="s">
        <v>410</v>
      </c>
      <c r="U14" s="48"/>
      <c r="V14" s="79"/>
      <c r="W14" s="2">
        <v>23</v>
      </c>
      <c r="X14" s="2">
        <f t="shared" si="0"/>
        <v>100</v>
      </c>
      <c r="Y14" s="2">
        <v>16</v>
      </c>
      <c r="Z14" s="2">
        <f t="shared" si="1"/>
        <v>39</v>
      </c>
      <c r="AA14" s="2">
        <f t="shared" si="2"/>
        <v>100</v>
      </c>
      <c r="AB14" s="2">
        <v>25</v>
      </c>
      <c r="AC14" s="2">
        <f t="shared" si="3"/>
        <v>64</v>
      </c>
      <c r="AD14" s="2">
        <f t="shared" si="4"/>
        <v>98.461538461538467</v>
      </c>
      <c r="AE14" s="2">
        <v>22</v>
      </c>
      <c r="AF14" s="2">
        <f t="shared" si="5"/>
        <v>86</v>
      </c>
      <c r="AG14" s="2">
        <f t="shared" si="6"/>
        <v>98.850574712643677</v>
      </c>
      <c r="AH14" s="2">
        <v>18</v>
      </c>
      <c r="AI14" s="2">
        <v>6</v>
      </c>
      <c r="AJ14" s="2">
        <v>15</v>
      </c>
      <c r="AK14" s="2">
        <v>6</v>
      </c>
      <c r="AL14" s="2">
        <v>12</v>
      </c>
      <c r="AM14" s="2">
        <f t="shared" si="7"/>
        <v>57</v>
      </c>
      <c r="AN14" s="2" t="s">
        <v>838</v>
      </c>
      <c r="AO14" s="2" t="s">
        <v>839</v>
      </c>
      <c r="AP14" s="2" t="s">
        <v>840</v>
      </c>
      <c r="AQ14" s="2" t="s">
        <v>841</v>
      </c>
      <c r="AR14" s="2" t="s">
        <v>842</v>
      </c>
      <c r="AS14" s="2" t="s">
        <v>843</v>
      </c>
      <c r="AT14" s="2" t="s">
        <v>844</v>
      </c>
      <c r="AU14" s="2" t="s">
        <v>845</v>
      </c>
      <c r="AV14" s="2" t="s">
        <v>846</v>
      </c>
      <c r="AW14" s="2" t="s">
        <v>847</v>
      </c>
      <c r="AX14" s="2" t="s">
        <v>848</v>
      </c>
      <c r="AY14" s="2" t="s">
        <v>849</v>
      </c>
      <c r="AZ14" s="2" t="s">
        <v>850</v>
      </c>
      <c r="BA14" s="2" t="s">
        <v>851</v>
      </c>
      <c r="BB14" s="2" t="s">
        <v>852</v>
      </c>
      <c r="BC14" s="2" t="s">
        <v>853</v>
      </c>
      <c r="BD14" s="2" t="s">
        <v>854</v>
      </c>
      <c r="BE14" s="2" t="s">
        <v>855</v>
      </c>
      <c r="BF14" s="2" t="s">
        <v>856</v>
      </c>
      <c r="BG14" s="2" t="s">
        <v>857</v>
      </c>
      <c r="BH14" s="2" t="s">
        <v>858</v>
      </c>
      <c r="BI14" s="2" t="s">
        <v>859</v>
      </c>
      <c r="BJ14" s="2" t="s">
        <v>860</v>
      </c>
      <c r="BK14" s="2" t="s">
        <v>861</v>
      </c>
      <c r="BL14" s="2" t="s">
        <v>862</v>
      </c>
      <c r="BM14" s="2" t="s">
        <v>863</v>
      </c>
      <c r="BN14" s="2" t="s">
        <v>864</v>
      </c>
      <c r="BO14" s="2" t="s">
        <v>865</v>
      </c>
      <c r="BP14" s="2" t="s">
        <v>866</v>
      </c>
      <c r="BQ14" s="2" t="s">
        <v>867</v>
      </c>
    </row>
    <row r="15" spans="1:69" x14ac:dyDescent="0.35">
      <c r="A15" s="2">
        <v>14</v>
      </c>
      <c r="B15" s="2" t="s">
        <v>2062</v>
      </c>
      <c r="C15" s="3">
        <v>40147</v>
      </c>
      <c r="D15" s="3" t="s">
        <v>258</v>
      </c>
      <c r="E15" s="2">
        <v>21422879109</v>
      </c>
      <c r="F15" s="4">
        <v>386281120721</v>
      </c>
      <c r="G15" s="5" t="s">
        <v>57</v>
      </c>
      <c r="H15" s="5" t="s">
        <v>57</v>
      </c>
      <c r="I15" s="5" t="s">
        <v>58</v>
      </c>
      <c r="J15" s="6" t="s">
        <v>96</v>
      </c>
      <c r="K15" s="6" t="s">
        <v>259</v>
      </c>
      <c r="L15" s="6" t="s">
        <v>260</v>
      </c>
      <c r="M15" s="7" t="s">
        <v>23</v>
      </c>
      <c r="N15" s="8" t="s">
        <v>24</v>
      </c>
      <c r="O15" s="8" t="s">
        <v>25</v>
      </c>
      <c r="P15" s="3" t="s">
        <v>26</v>
      </c>
      <c r="Q15" s="6" t="s">
        <v>261</v>
      </c>
      <c r="R15" s="7">
        <v>9651486966</v>
      </c>
      <c r="S15" s="9" t="s">
        <v>262</v>
      </c>
      <c r="T15" s="46" t="s">
        <v>410</v>
      </c>
      <c r="U15" s="47"/>
      <c r="V15" s="78"/>
      <c r="W15" s="2">
        <v>11</v>
      </c>
      <c r="X15" s="2">
        <f t="shared" si="0"/>
        <v>47.826086956521742</v>
      </c>
      <c r="Y15" s="2">
        <v>8</v>
      </c>
      <c r="Z15" s="2">
        <f t="shared" si="1"/>
        <v>19</v>
      </c>
      <c r="AA15" s="2">
        <f t="shared" si="2"/>
        <v>48.717948717948715</v>
      </c>
      <c r="AB15" s="2">
        <v>16</v>
      </c>
      <c r="AC15" s="2">
        <f t="shared" si="3"/>
        <v>35</v>
      </c>
      <c r="AD15" s="2">
        <f t="shared" si="4"/>
        <v>53.846153846153847</v>
      </c>
      <c r="AE15" s="2">
        <v>12</v>
      </c>
      <c r="AF15" s="2">
        <f t="shared" si="5"/>
        <v>47</v>
      </c>
      <c r="AG15" s="2">
        <f t="shared" si="6"/>
        <v>54.022988505747129</v>
      </c>
      <c r="AH15" s="2">
        <v>10</v>
      </c>
      <c r="AI15" s="2">
        <v>3</v>
      </c>
      <c r="AJ15" s="2">
        <v>0</v>
      </c>
      <c r="AK15" s="2">
        <v>1</v>
      </c>
      <c r="AL15" s="2">
        <v>1</v>
      </c>
      <c r="AM15" s="2">
        <f t="shared" si="7"/>
        <v>15</v>
      </c>
      <c r="AN15" s="2" t="s">
        <v>868</v>
      </c>
      <c r="AO15" s="2" t="s">
        <v>869</v>
      </c>
      <c r="AP15" s="2" t="s">
        <v>870</v>
      </c>
      <c r="AQ15" s="2" t="s">
        <v>871</v>
      </c>
      <c r="AR15" s="2" t="s">
        <v>872</v>
      </c>
      <c r="AS15" s="2" t="s">
        <v>873</v>
      </c>
      <c r="AT15" s="2" t="s">
        <v>874</v>
      </c>
      <c r="AU15" s="2" t="s">
        <v>875</v>
      </c>
      <c r="AV15" s="2" t="s">
        <v>876</v>
      </c>
      <c r="AW15" s="2" t="s">
        <v>877</v>
      </c>
      <c r="AX15" s="2" t="s">
        <v>878</v>
      </c>
      <c r="AY15" s="2" t="s">
        <v>879</v>
      </c>
      <c r="AZ15" s="2" t="s">
        <v>880</v>
      </c>
      <c r="BA15" s="2" t="s">
        <v>881</v>
      </c>
      <c r="BB15" s="2" t="s">
        <v>882</v>
      </c>
      <c r="BC15" s="2" t="s">
        <v>883</v>
      </c>
      <c r="BD15" s="2" t="s">
        <v>884</v>
      </c>
      <c r="BE15" s="2" t="s">
        <v>885</v>
      </c>
      <c r="BF15" s="2" t="s">
        <v>886</v>
      </c>
      <c r="BG15" s="2" t="s">
        <v>887</v>
      </c>
      <c r="BH15" s="2" t="s">
        <v>888</v>
      </c>
      <c r="BI15" s="2" t="s">
        <v>889</v>
      </c>
      <c r="BJ15" s="2" t="s">
        <v>890</v>
      </c>
      <c r="BK15" s="2" t="s">
        <v>891</v>
      </c>
      <c r="BL15" s="2" t="s">
        <v>892</v>
      </c>
      <c r="BM15" s="2" t="s">
        <v>893</v>
      </c>
      <c r="BN15" s="2" t="s">
        <v>894</v>
      </c>
      <c r="BO15" s="2" t="s">
        <v>895</v>
      </c>
      <c r="BP15" s="2" t="s">
        <v>896</v>
      </c>
      <c r="BQ15" s="2" t="s">
        <v>897</v>
      </c>
    </row>
    <row r="16" spans="1:69" x14ac:dyDescent="0.35">
      <c r="A16" s="2">
        <v>15</v>
      </c>
      <c r="B16" s="2" t="s">
        <v>2062</v>
      </c>
      <c r="C16" s="3">
        <v>37180</v>
      </c>
      <c r="D16" s="3">
        <v>1252255584</v>
      </c>
      <c r="E16" s="2">
        <v>21294843958</v>
      </c>
      <c r="F16" s="10">
        <v>927197697060</v>
      </c>
      <c r="G16" s="17" t="s">
        <v>97</v>
      </c>
      <c r="H16" s="17" t="s">
        <v>18</v>
      </c>
      <c r="I16" s="5" t="s">
        <v>32</v>
      </c>
      <c r="J16" s="8" t="s">
        <v>98</v>
      </c>
      <c r="K16" s="8" t="s">
        <v>99</v>
      </c>
      <c r="L16" s="8" t="s">
        <v>100</v>
      </c>
      <c r="M16" s="7" t="s">
        <v>23</v>
      </c>
      <c r="N16" s="8" t="s">
        <v>24</v>
      </c>
      <c r="O16" s="8" t="s">
        <v>25</v>
      </c>
      <c r="P16" s="3" t="s">
        <v>26</v>
      </c>
      <c r="Q16" s="8" t="s">
        <v>101</v>
      </c>
      <c r="R16" s="7">
        <v>9936431332</v>
      </c>
      <c r="S16" s="12" t="s">
        <v>102</v>
      </c>
      <c r="T16" s="44" t="s">
        <v>410</v>
      </c>
      <c r="U16" s="52" t="s">
        <v>414</v>
      </c>
      <c r="V16" s="79" t="s">
        <v>414</v>
      </c>
      <c r="W16" s="2">
        <v>22</v>
      </c>
      <c r="X16" s="2">
        <f t="shared" si="0"/>
        <v>95.652173913043484</v>
      </c>
      <c r="Y16" s="2">
        <v>14</v>
      </c>
      <c r="Z16" s="2">
        <f t="shared" si="1"/>
        <v>36</v>
      </c>
      <c r="AA16" s="2">
        <f t="shared" si="2"/>
        <v>92.307692307692307</v>
      </c>
      <c r="AB16" s="2">
        <v>26</v>
      </c>
      <c r="AC16" s="2">
        <f t="shared" si="3"/>
        <v>62</v>
      </c>
      <c r="AD16" s="2">
        <f t="shared" si="4"/>
        <v>95.384615384615387</v>
      </c>
      <c r="AE16" s="2">
        <v>22</v>
      </c>
      <c r="AF16" s="2">
        <f t="shared" si="5"/>
        <v>84</v>
      </c>
      <c r="AG16" s="2">
        <f t="shared" si="6"/>
        <v>96.551724137931032</v>
      </c>
      <c r="AH16" s="2">
        <v>13</v>
      </c>
      <c r="AI16" s="2">
        <v>11</v>
      </c>
      <c r="AJ16" s="2">
        <v>16</v>
      </c>
      <c r="AK16" s="2">
        <v>6</v>
      </c>
      <c r="AL16" s="2">
        <v>12</v>
      </c>
      <c r="AM16" s="2">
        <f t="shared" si="7"/>
        <v>58</v>
      </c>
      <c r="AN16" s="2" t="s">
        <v>898</v>
      </c>
      <c r="AO16" s="2" t="s">
        <v>899</v>
      </c>
      <c r="AP16" s="2" t="s">
        <v>900</v>
      </c>
      <c r="AQ16" s="2" t="s">
        <v>901</v>
      </c>
      <c r="AR16" s="2" t="s">
        <v>902</v>
      </c>
      <c r="AS16" s="2" t="s">
        <v>903</v>
      </c>
      <c r="AT16" s="2" t="s">
        <v>904</v>
      </c>
      <c r="AU16" s="2" t="s">
        <v>905</v>
      </c>
      <c r="AV16" s="2" t="s">
        <v>906</v>
      </c>
      <c r="AW16" s="2" t="s">
        <v>907</v>
      </c>
      <c r="AX16" s="2" t="s">
        <v>908</v>
      </c>
      <c r="AY16" s="2" t="s">
        <v>909</v>
      </c>
      <c r="AZ16" s="2" t="s">
        <v>910</v>
      </c>
      <c r="BA16" s="2" t="s">
        <v>911</v>
      </c>
      <c r="BB16" s="2" t="s">
        <v>912</v>
      </c>
      <c r="BC16" s="2" t="s">
        <v>913</v>
      </c>
      <c r="BD16" s="2" t="s">
        <v>914</v>
      </c>
      <c r="BE16" s="2" t="s">
        <v>915</v>
      </c>
      <c r="BF16" s="2" t="s">
        <v>916</v>
      </c>
      <c r="BG16" s="2" t="s">
        <v>917</v>
      </c>
      <c r="BH16" s="2" t="s">
        <v>918</v>
      </c>
      <c r="BI16" s="2" t="s">
        <v>919</v>
      </c>
      <c r="BJ16" s="2" t="s">
        <v>920</v>
      </c>
      <c r="BK16" s="2" t="s">
        <v>921</v>
      </c>
      <c r="BL16" s="2" t="s">
        <v>922</v>
      </c>
      <c r="BM16" s="2" t="s">
        <v>923</v>
      </c>
      <c r="BN16" s="2" t="s">
        <v>924</v>
      </c>
      <c r="BO16" s="2" t="s">
        <v>925</v>
      </c>
      <c r="BP16" s="2" t="s">
        <v>926</v>
      </c>
      <c r="BQ16" s="2" t="s">
        <v>927</v>
      </c>
    </row>
    <row r="17" spans="1:69" x14ac:dyDescent="0.35">
      <c r="A17" s="2">
        <v>16</v>
      </c>
      <c r="B17" s="2" t="s">
        <v>2062</v>
      </c>
      <c r="C17" s="3">
        <v>39062</v>
      </c>
      <c r="D17" s="3">
        <v>1252255589</v>
      </c>
      <c r="E17" s="2">
        <v>23010833902</v>
      </c>
      <c r="F17" s="4">
        <v>521226798038</v>
      </c>
      <c r="G17" s="5" t="s">
        <v>103</v>
      </c>
      <c r="H17" s="5" t="s">
        <v>73</v>
      </c>
      <c r="I17" s="5" t="s">
        <v>19</v>
      </c>
      <c r="J17" s="6" t="s">
        <v>104</v>
      </c>
      <c r="K17" s="6" t="s">
        <v>105</v>
      </c>
      <c r="L17" s="6" t="s">
        <v>106</v>
      </c>
      <c r="M17" s="7" t="s">
        <v>23</v>
      </c>
      <c r="N17" s="8" t="s">
        <v>107</v>
      </c>
      <c r="O17" s="8" t="s">
        <v>25</v>
      </c>
      <c r="P17" s="3" t="s">
        <v>26</v>
      </c>
      <c r="Q17" s="6" t="s">
        <v>108</v>
      </c>
      <c r="R17" s="7">
        <v>7054291240</v>
      </c>
      <c r="S17" s="18" t="s">
        <v>109</v>
      </c>
      <c r="T17" s="44" t="s">
        <v>410</v>
      </c>
      <c r="U17" s="45"/>
      <c r="V17" s="77"/>
      <c r="W17" s="2">
        <v>19</v>
      </c>
      <c r="X17" s="2">
        <f t="shared" si="0"/>
        <v>82.608695652173907</v>
      </c>
      <c r="Y17" s="2">
        <v>16</v>
      </c>
      <c r="Z17" s="2">
        <f t="shared" si="1"/>
        <v>35</v>
      </c>
      <c r="AA17" s="2">
        <f t="shared" si="2"/>
        <v>89.743589743589752</v>
      </c>
      <c r="AB17" s="2">
        <v>20</v>
      </c>
      <c r="AC17" s="2">
        <f t="shared" si="3"/>
        <v>55</v>
      </c>
      <c r="AD17" s="2">
        <f t="shared" si="4"/>
        <v>84.615384615384613</v>
      </c>
      <c r="AE17" s="2">
        <v>19</v>
      </c>
      <c r="AF17" s="2">
        <f t="shared" si="5"/>
        <v>74</v>
      </c>
      <c r="AG17" s="2">
        <f t="shared" si="6"/>
        <v>85.057471264367805</v>
      </c>
      <c r="AH17" s="2">
        <v>15</v>
      </c>
      <c r="AI17" s="2">
        <v>4</v>
      </c>
      <c r="AJ17" s="2">
        <v>17</v>
      </c>
      <c r="AK17" s="2">
        <v>1</v>
      </c>
      <c r="AL17" s="2">
        <v>8</v>
      </c>
      <c r="AM17" s="2">
        <f t="shared" si="7"/>
        <v>45</v>
      </c>
      <c r="AN17" s="2" t="s">
        <v>688</v>
      </c>
      <c r="AO17" s="2" t="s">
        <v>928</v>
      </c>
      <c r="AP17" s="2" t="s">
        <v>929</v>
      </c>
      <c r="AQ17" s="2" t="s">
        <v>930</v>
      </c>
      <c r="AR17" s="2" t="s">
        <v>931</v>
      </c>
      <c r="AS17" s="2" t="s">
        <v>932</v>
      </c>
      <c r="AT17" s="2" t="s">
        <v>933</v>
      </c>
      <c r="AU17" s="2" t="s">
        <v>934</v>
      </c>
      <c r="AV17" s="2" t="s">
        <v>935</v>
      </c>
      <c r="AW17" s="2" t="s">
        <v>936</v>
      </c>
      <c r="AX17" s="2" t="s">
        <v>937</v>
      </c>
      <c r="AY17" s="2" t="s">
        <v>938</v>
      </c>
      <c r="AZ17" s="2" t="s">
        <v>939</v>
      </c>
      <c r="BA17" s="2" t="s">
        <v>940</v>
      </c>
      <c r="BB17" s="2" t="s">
        <v>941</v>
      </c>
      <c r="BC17" s="2" t="s">
        <v>942</v>
      </c>
      <c r="BD17" s="2" t="s">
        <v>943</v>
      </c>
      <c r="BE17" s="2" t="s">
        <v>944</v>
      </c>
      <c r="BF17" s="2" t="s">
        <v>945</v>
      </c>
      <c r="BG17" s="2" t="s">
        <v>946</v>
      </c>
      <c r="BH17" s="2" t="s">
        <v>947</v>
      </c>
      <c r="BI17" s="2" t="s">
        <v>948</v>
      </c>
      <c r="BJ17" s="2" t="s">
        <v>949</v>
      </c>
      <c r="BK17" s="2" t="s">
        <v>950</v>
      </c>
      <c r="BL17" s="2" t="s">
        <v>951</v>
      </c>
      <c r="BM17" s="2" t="s">
        <v>952</v>
      </c>
      <c r="BN17" s="2" t="s">
        <v>953</v>
      </c>
      <c r="BO17" s="2" t="s">
        <v>954</v>
      </c>
      <c r="BP17" s="2" t="s">
        <v>955</v>
      </c>
      <c r="BQ17" s="2" t="s">
        <v>956</v>
      </c>
    </row>
    <row r="18" spans="1:69" x14ac:dyDescent="0.35">
      <c r="A18" s="2">
        <v>17</v>
      </c>
      <c r="B18" s="2" t="s">
        <v>2062</v>
      </c>
      <c r="C18" s="3">
        <v>39020</v>
      </c>
      <c r="D18" s="3">
        <v>1252255607</v>
      </c>
      <c r="E18" s="2">
        <v>21065800616</v>
      </c>
      <c r="F18" s="19" t="s">
        <v>112</v>
      </c>
      <c r="G18" s="5" t="s">
        <v>113</v>
      </c>
      <c r="H18" s="5" t="s">
        <v>65</v>
      </c>
      <c r="I18" s="5" t="s">
        <v>32</v>
      </c>
      <c r="J18" s="6" t="s">
        <v>114</v>
      </c>
      <c r="K18" s="13" t="s">
        <v>115</v>
      </c>
      <c r="L18" s="13" t="s">
        <v>116</v>
      </c>
      <c r="M18" s="7" t="s">
        <v>23</v>
      </c>
      <c r="N18" s="14" t="s">
        <v>24</v>
      </c>
      <c r="O18" s="14" t="s">
        <v>25</v>
      </c>
      <c r="P18" s="3" t="s">
        <v>26</v>
      </c>
      <c r="Q18" s="13" t="s">
        <v>63</v>
      </c>
      <c r="R18" s="3">
        <v>8081749763</v>
      </c>
      <c r="S18" s="6" t="s">
        <v>117</v>
      </c>
      <c r="T18" s="50" t="s">
        <v>410</v>
      </c>
      <c r="U18" s="51"/>
      <c r="V18" s="81"/>
      <c r="W18" s="2">
        <v>15</v>
      </c>
      <c r="X18" s="2">
        <f t="shared" si="0"/>
        <v>65.217391304347828</v>
      </c>
      <c r="Y18" s="2">
        <v>9</v>
      </c>
      <c r="Z18" s="2">
        <f t="shared" si="1"/>
        <v>24</v>
      </c>
      <c r="AA18" s="2">
        <f t="shared" si="2"/>
        <v>61.53846153846154</v>
      </c>
      <c r="AB18" s="2">
        <v>20</v>
      </c>
      <c r="AC18" s="2">
        <f t="shared" si="3"/>
        <v>44</v>
      </c>
      <c r="AD18" s="2">
        <f t="shared" si="4"/>
        <v>67.692307692307693</v>
      </c>
      <c r="AE18" s="2">
        <v>19</v>
      </c>
      <c r="AF18" s="2">
        <f t="shared" si="5"/>
        <v>63</v>
      </c>
      <c r="AG18" s="2">
        <f t="shared" si="6"/>
        <v>72.41379310344827</v>
      </c>
      <c r="AH18" s="2">
        <v>13</v>
      </c>
      <c r="AI18" s="2">
        <v>4</v>
      </c>
      <c r="AJ18" s="2">
        <v>15</v>
      </c>
      <c r="AK18" s="2">
        <v>0</v>
      </c>
      <c r="AL18" s="2">
        <v>4</v>
      </c>
      <c r="AM18" s="2">
        <f t="shared" si="7"/>
        <v>36</v>
      </c>
      <c r="AN18" s="2" t="s">
        <v>688</v>
      </c>
      <c r="AO18" s="2" t="s">
        <v>957</v>
      </c>
      <c r="AP18" s="2" t="s">
        <v>958</v>
      </c>
      <c r="AQ18" s="2" t="s">
        <v>959</v>
      </c>
      <c r="AR18" s="2" t="s">
        <v>960</v>
      </c>
      <c r="AS18" s="2" t="s">
        <v>961</v>
      </c>
      <c r="AT18" s="2" t="s">
        <v>962</v>
      </c>
      <c r="AU18" s="2" t="s">
        <v>963</v>
      </c>
      <c r="AV18" s="2" t="s">
        <v>964</v>
      </c>
      <c r="AW18" s="2" t="s">
        <v>965</v>
      </c>
      <c r="AX18" s="2" t="s">
        <v>966</v>
      </c>
      <c r="AY18" s="2" t="s">
        <v>967</v>
      </c>
      <c r="AZ18" s="2" t="s">
        <v>968</v>
      </c>
      <c r="BA18" s="2" t="s">
        <v>969</v>
      </c>
      <c r="BB18" s="2" t="s">
        <v>970</v>
      </c>
      <c r="BC18" s="2" t="s">
        <v>971</v>
      </c>
      <c r="BD18" s="2" t="s">
        <v>972</v>
      </c>
      <c r="BE18" s="2" t="s">
        <v>973</v>
      </c>
      <c r="BF18" s="2" t="s">
        <v>974</v>
      </c>
      <c r="BG18" s="2" t="s">
        <v>975</v>
      </c>
      <c r="BH18" s="2" t="s">
        <v>976</v>
      </c>
      <c r="BI18" s="2" t="s">
        <v>977</v>
      </c>
      <c r="BJ18" s="2" t="s">
        <v>978</v>
      </c>
      <c r="BK18" s="2" t="s">
        <v>979</v>
      </c>
      <c r="BL18" s="2" t="s">
        <v>980</v>
      </c>
      <c r="BM18" s="2" t="s">
        <v>981</v>
      </c>
      <c r="BN18" s="2" t="s">
        <v>982</v>
      </c>
      <c r="BO18" s="2" t="s">
        <v>983</v>
      </c>
      <c r="BP18" s="2" t="s">
        <v>984</v>
      </c>
      <c r="BQ18" s="2" t="s">
        <v>985</v>
      </c>
    </row>
    <row r="19" spans="1:69" x14ac:dyDescent="0.35">
      <c r="A19" s="2">
        <v>18</v>
      </c>
      <c r="B19" s="2" t="s">
        <v>2062</v>
      </c>
      <c r="C19" s="3">
        <v>39070</v>
      </c>
      <c r="D19" s="3">
        <v>1252255610</v>
      </c>
      <c r="E19" s="2">
        <v>21296027832</v>
      </c>
      <c r="F19" s="4">
        <v>671190469526</v>
      </c>
      <c r="G19" s="5" t="s">
        <v>118</v>
      </c>
      <c r="H19" s="5" t="s">
        <v>119</v>
      </c>
      <c r="I19" s="5" t="s">
        <v>120</v>
      </c>
      <c r="J19" s="6" t="s">
        <v>121</v>
      </c>
      <c r="K19" s="6" t="s">
        <v>122</v>
      </c>
      <c r="L19" s="6" t="s">
        <v>123</v>
      </c>
      <c r="M19" s="7" t="s">
        <v>23</v>
      </c>
      <c r="N19" s="8" t="s">
        <v>124</v>
      </c>
      <c r="O19" s="8" t="s">
        <v>47</v>
      </c>
      <c r="P19" s="3" t="s">
        <v>26</v>
      </c>
      <c r="Q19" s="6" t="s">
        <v>125</v>
      </c>
      <c r="R19" s="7">
        <v>9452636920</v>
      </c>
      <c r="S19" s="9" t="s">
        <v>126</v>
      </c>
      <c r="T19" s="44" t="s">
        <v>410</v>
      </c>
      <c r="U19" s="45"/>
      <c r="V19" s="77"/>
      <c r="W19" s="2">
        <v>16</v>
      </c>
      <c r="X19" s="2">
        <f t="shared" si="0"/>
        <v>69.565217391304344</v>
      </c>
      <c r="Y19" s="2">
        <v>12</v>
      </c>
      <c r="Z19" s="2">
        <f t="shared" si="1"/>
        <v>28</v>
      </c>
      <c r="AA19" s="2">
        <f t="shared" si="2"/>
        <v>71.794871794871796</v>
      </c>
      <c r="AB19" s="2">
        <v>21</v>
      </c>
      <c r="AC19" s="2">
        <f t="shared" si="3"/>
        <v>49</v>
      </c>
      <c r="AD19" s="2">
        <f t="shared" si="4"/>
        <v>75.384615384615387</v>
      </c>
      <c r="AE19" s="2">
        <v>17</v>
      </c>
      <c r="AF19" s="2">
        <f t="shared" si="5"/>
        <v>66</v>
      </c>
      <c r="AG19" s="2">
        <f t="shared" si="6"/>
        <v>75.862068965517238</v>
      </c>
      <c r="AH19" s="2">
        <v>11</v>
      </c>
      <c r="AI19" s="2">
        <v>6</v>
      </c>
      <c r="AJ19" s="2">
        <v>13</v>
      </c>
      <c r="AK19" s="2">
        <v>5</v>
      </c>
      <c r="AL19" s="2">
        <v>2</v>
      </c>
      <c r="AM19" s="2">
        <f t="shared" si="7"/>
        <v>37</v>
      </c>
      <c r="AN19" s="2" t="s">
        <v>986</v>
      </c>
      <c r="AO19" s="2" t="s">
        <v>987</v>
      </c>
      <c r="AP19" s="2" t="s">
        <v>988</v>
      </c>
      <c r="AQ19" s="2" t="s">
        <v>989</v>
      </c>
      <c r="AR19" s="2" t="s">
        <v>990</v>
      </c>
      <c r="AS19" s="2" t="s">
        <v>991</v>
      </c>
      <c r="AT19" s="2" t="s">
        <v>992</v>
      </c>
      <c r="AU19" s="2" t="s">
        <v>993</v>
      </c>
      <c r="AV19" s="2" t="s">
        <v>994</v>
      </c>
      <c r="AW19" s="2" t="s">
        <v>995</v>
      </c>
      <c r="AX19" s="2" t="s">
        <v>996</v>
      </c>
      <c r="AY19" s="2" t="s">
        <v>997</v>
      </c>
      <c r="AZ19" s="2" t="s">
        <v>998</v>
      </c>
      <c r="BA19" s="2" t="s">
        <v>999</v>
      </c>
      <c r="BB19" s="2" t="s">
        <v>1000</v>
      </c>
      <c r="BC19" s="2" t="s">
        <v>1001</v>
      </c>
      <c r="BD19" s="2" t="s">
        <v>1002</v>
      </c>
      <c r="BE19" s="2" t="s">
        <v>1003</v>
      </c>
      <c r="BF19" s="2" t="s">
        <v>1004</v>
      </c>
      <c r="BG19" s="2" t="s">
        <v>1005</v>
      </c>
      <c r="BH19" s="2" t="s">
        <v>1006</v>
      </c>
      <c r="BI19" s="2" t="s">
        <v>1007</v>
      </c>
      <c r="BJ19" s="2" t="s">
        <v>1008</v>
      </c>
      <c r="BK19" s="2" t="s">
        <v>1009</v>
      </c>
      <c r="BL19" s="2" t="s">
        <v>1010</v>
      </c>
      <c r="BM19" s="2" t="s">
        <v>1011</v>
      </c>
      <c r="BN19" s="2" t="s">
        <v>1012</v>
      </c>
      <c r="BO19" s="2" t="s">
        <v>1013</v>
      </c>
      <c r="BP19" s="2" t="s">
        <v>1014</v>
      </c>
      <c r="BQ19" s="2" t="s">
        <v>1015</v>
      </c>
    </row>
    <row r="20" spans="1:69" x14ac:dyDescent="0.35">
      <c r="A20" s="2">
        <v>19</v>
      </c>
      <c r="B20" s="2" t="s">
        <v>2062</v>
      </c>
      <c r="C20" s="3">
        <v>37224</v>
      </c>
      <c r="D20" s="3">
        <v>1252255621</v>
      </c>
      <c r="E20" s="2">
        <v>21325384557</v>
      </c>
      <c r="F20" s="10" t="s">
        <v>127</v>
      </c>
      <c r="G20" s="5" t="s">
        <v>128</v>
      </c>
      <c r="H20" s="5" t="s">
        <v>42</v>
      </c>
      <c r="I20" s="5" t="s">
        <v>32</v>
      </c>
      <c r="J20" s="6" t="s">
        <v>129</v>
      </c>
      <c r="K20" s="6" t="s">
        <v>130</v>
      </c>
      <c r="L20" s="6" t="s">
        <v>131</v>
      </c>
      <c r="M20" s="7" t="s">
        <v>23</v>
      </c>
      <c r="N20" s="8" t="s">
        <v>46</v>
      </c>
      <c r="O20" s="8" t="s">
        <v>47</v>
      </c>
      <c r="P20" s="3" t="s">
        <v>23</v>
      </c>
      <c r="Q20" s="6" t="s">
        <v>132</v>
      </c>
      <c r="R20" s="7">
        <v>8853120790</v>
      </c>
      <c r="S20" s="18" t="s">
        <v>133</v>
      </c>
      <c r="T20" s="44" t="s">
        <v>410</v>
      </c>
      <c r="U20" s="48"/>
      <c r="V20" s="80"/>
      <c r="W20" s="2">
        <v>17</v>
      </c>
      <c r="X20" s="2">
        <f t="shared" si="0"/>
        <v>73.91304347826086</v>
      </c>
      <c r="Y20" s="2">
        <v>11</v>
      </c>
      <c r="Z20" s="2">
        <f t="shared" si="1"/>
        <v>28</v>
      </c>
      <c r="AA20" s="2">
        <f t="shared" si="2"/>
        <v>71.794871794871796</v>
      </c>
      <c r="AB20" s="2">
        <v>23</v>
      </c>
      <c r="AC20" s="2">
        <f t="shared" si="3"/>
        <v>51</v>
      </c>
      <c r="AD20" s="2">
        <f t="shared" si="4"/>
        <v>78.461538461538467</v>
      </c>
      <c r="AE20" s="2">
        <v>10</v>
      </c>
      <c r="AF20" s="2">
        <f t="shared" si="5"/>
        <v>61</v>
      </c>
      <c r="AG20" s="2">
        <f t="shared" si="6"/>
        <v>70.114942528735639</v>
      </c>
      <c r="AH20" s="2">
        <v>14</v>
      </c>
      <c r="AI20" s="2">
        <v>9</v>
      </c>
      <c r="AJ20" s="2">
        <v>10</v>
      </c>
      <c r="AK20" s="2">
        <v>7</v>
      </c>
      <c r="AL20" s="2">
        <v>3</v>
      </c>
      <c r="AM20" s="2">
        <f t="shared" si="7"/>
        <v>43</v>
      </c>
      <c r="AN20" s="2" t="s">
        <v>1016</v>
      </c>
      <c r="AO20" s="2" t="s">
        <v>1017</v>
      </c>
      <c r="AP20" s="2" t="s">
        <v>1018</v>
      </c>
      <c r="AQ20" s="2" t="s">
        <v>1019</v>
      </c>
      <c r="AR20" s="2" t="s">
        <v>1020</v>
      </c>
      <c r="AS20" s="2" t="s">
        <v>1021</v>
      </c>
      <c r="AT20" s="2" t="s">
        <v>1022</v>
      </c>
      <c r="AU20" s="2" t="s">
        <v>1023</v>
      </c>
      <c r="AV20" s="2" t="s">
        <v>1024</v>
      </c>
      <c r="AW20" s="2" t="s">
        <v>1025</v>
      </c>
      <c r="AX20" s="2" t="s">
        <v>1026</v>
      </c>
      <c r="AY20" s="2" t="s">
        <v>1027</v>
      </c>
      <c r="AZ20" s="2" t="s">
        <v>1028</v>
      </c>
      <c r="BA20" s="2" t="s">
        <v>1029</v>
      </c>
      <c r="BB20" s="2" t="s">
        <v>1030</v>
      </c>
      <c r="BC20" s="2" t="s">
        <v>1031</v>
      </c>
      <c r="BD20" s="2" t="s">
        <v>1032</v>
      </c>
      <c r="BE20" s="2" t="s">
        <v>1033</v>
      </c>
      <c r="BF20" s="2" t="s">
        <v>1034</v>
      </c>
      <c r="BG20" s="2" t="s">
        <v>1035</v>
      </c>
      <c r="BH20" s="2" t="s">
        <v>1036</v>
      </c>
      <c r="BI20" s="2" t="s">
        <v>1037</v>
      </c>
      <c r="BJ20" s="2" t="s">
        <v>1038</v>
      </c>
      <c r="BK20" s="2" t="s">
        <v>1039</v>
      </c>
      <c r="BL20" s="2" t="s">
        <v>1040</v>
      </c>
      <c r="BM20" s="2" t="s">
        <v>1041</v>
      </c>
      <c r="BN20" s="2" t="s">
        <v>1042</v>
      </c>
      <c r="BO20" s="2" t="s">
        <v>1043</v>
      </c>
      <c r="BP20" s="2" t="s">
        <v>1044</v>
      </c>
      <c r="BQ20" s="2" t="s">
        <v>1045</v>
      </c>
    </row>
    <row r="21" spans="1:69" x14ac:dyDescent="0.35">
      <c r="A21" s="2">
        <v>20</v>
      </c>
      <c r="B21" s="2" t="s">
        <v>2062</v>
      </c>
      <c r="C21" s="3">
        <v>37253</v>
      </c>
      <c r="D21" s="3">
        <v>1252255649</v>
      </c>
      <c r="E21" s="2">
        <v>21754387620</v>
      </c>
      <c r="F21" s="10">
        <v>537850185546</v>
      </c>
      <c r="G21" s="5" t="s">
        <v>134</v>
      </c>
      <c r="H21" s="5" t="s">
        <v>42</v>
      </c>
      <c r="I21" s="5" t="s">
        <v>19</v>
      </c>
      <c r="J21" s="20" t="s">
        <v>135</v>
      </c>
      <c r="K21" s="8" t="s">
        <v>136</v>
      </c>
      <c r="L21" s="8" t="s">
        <v>137</v>
      </c>
      <c r="M21" s="7" t="s">
        <v>23</v>
      </c>
      <c r="N21" s="8" t="s">
        <v>138</v>
      </c>
      <c r="O21" s="8" t="s">
        <v>25</v>
      </c>
      <c r="P21" s="3" t="s">
        <v>26</v>
      </c>
      <c r="Q21" s="8" t="s">
        <v>139</v>
      </c>
      <c r="R21" s="7">
        <v>9125374243</v>
      </c>
      <c r="S21" s="12" t="s">
        <v>140</v>
      </c>
      <c r="T21" s="44" t="s">
        <v>411</v>
      </c>
      <c r="U21" s="70" t="s">
        <v>418</v>
      </c>
      <c r="V21" s="79" t="s">
        <v>419</v>
      </c>
      <c r="W21" s="2">
        <v>20</v>
      </c>
      <c r="X21" s="2">
        <f t="shared" si="0"/>
        <v>86.956521739130437</v>
      </c>
      <c r="Y21" s="2">
        <v>16</v>
      </c>
      <c r="Z21" s="2">
        <f t="shared" si="1"/>
        <v>36</v>
      </c>
      <c r="AA21" s="2">
        <f t="shared" si="2"/>
        <v>92.307692307692307</v>
      </c>
      <c r="AB21" s="2">
        <v>25</v>
      </c>
      <c r="AC21" s="2">
        <f t="shared" si="3"/>
        <v>61</v>
      </c>
      <c r="AD21" s="2">
        <f t="shared" si="4"/>
        <v>93.84615384615384</v>
      </c>
      <c r="AE21" s="2">
        <v>20</v>
      </c>
      <c r="AF21" s="2">
        <f t="shared" si="5"/>
        <v>81</v>
      </c>
      <c r="AG21" s="2">
        <f t="shared" si="6"/>
        <v>93.103448275862064</v>
      </c>
      <c r="AH21" s="2">
        <v>16</v>
      </c>
      <c r="AI21" s="2">
        <v>3</v>
      </c>
      <c r="AJ21" s="2">
        <v>9</v>
      </c>
      <c r="AK21" s="2">
        <v>4</v>
      </c>
      <c r="AL21" s="2">
        <v>2</v>
      </c>
      <c r="AM21" s="2">
        <f t="shared" si="7"/>
        <v>34</v>
      </c>
      <c r="AN21" s="2" t="s">
        <v>808</v>
      </c>
      <c r="AO21" s="2" t="s">
        <v>1046</v>
      </c>
      <c r="AP21" s="2" t="s">
        <v>1047</v>
      </c>
      <c r="AQ21" s="2" t="s">
        <v>1048</v>
      </c>
      <c r="AR21" s="2" t="s">
        <v>1049</v>
      </c>
      <c r="AS21" s="2" t="s">
        <v>1050</v>
      </c>
      <c r="AT21" s="2" t="s">
        <v>1051</v>
      </c>
      <c r="AU21" s="2" t="s">
        <v>1052</v>
      </c>
      <c r="AV21" s="2" t="s">
        <v>1053</v>
      </c>
      <c r="AW21" s="2" t="s">
        <v>1054</v>
      </c>
      <c r="AX21" s="2" t="s">
        <v>1055</v>
      </c>
      <c r="AY21" s="2" t="s">
        <v>1056</v>
      </c>
      <c r="AZ21" s="2" t="s">
        <v>1057</v>
      </c>
      <c r="BA21" s="2" t="s">
        <v>1058</v>
      </c>
      <c r="BB21" s="2" t="s">
        <v>1059</v>
      </c>
      <c r="BC21" s="2" t="s">
        <v>1060</v>
      </c>
      <c r="BD21" s="2" t="s">
        <v>1061</v>
      </c>
      <c r="BE21" s="2" t="s">
        <v>1062</v>
      </c>
      <c r="BF21" s="2" t="s">
        <v>1063</v>
      </c>
      <c r="BG21" s="2" t="s">
        <v>1064</v>
      </c>
      <c r="BH21" s="2" t="s">
        <v>1065</v>
      </c>
      <c r="BI21" s="2" t="s">
        <v>1066</v>
      </c>
      <c r="BJ21" s="2" t="s">
        <v>1067</v>
      </c>
      <c r="BK21" s="2" t="s">
        <v>1068</v>
      </c>
      <c r="BL21" s="2" t="s">
        <v>1069</v>
      </c>
      <c r="BM21" s="2" t="s">
        <v>1070</v>
      </c>
      <c r="BN21" s="2" t="s">
        <v>1071</v>
      </c>
      <c r="BO21" s="2" t="s">
        <v>1072</v>
      </c>
      <c r="BP21" s="2" t="s">
        <v>1073</v>
      </c>
      <c r="BQ21" s="2" t="s">
        <v>1074</v>
      </c>
    </row>
    <row r="22" spans="1:69" x14ac:dyDescent="0.35">
      <c r="A22" s="2">
        <v>21</v>
      </c>
      <c r="B22" s="2" t="s">
        <v>2062</v>
      </c>
      <c r="C22" s="3">
        <v>38924</v>
      </c>
      <c r="D22" s="3">
        <v>1252255650</v>
      </c>
      <c r="E22" s="2">
        <v>21064854622</v>
      </c>
      <c r="F22" s="10">
        <v>547719947971</v>
      </c>
      <c r="G22" s="17" t="s">
        <v>65</v>
      </c>
      <c r="H22" s="17" t="s">
        <v>81</v>
      </c>
      <c r="I22" s="21">
        <v>2008</v>
      </c>
      <c r="J22" s="8" t="s">
        <v>141</v>
      </c>
      <c r="K22" s="8" t="s">
        <v>142</v>
      </c>
      <c r="L22" s="8" t="s">
        <v>143</v>
      </c>
      <c r="M22" s="7" t="s">
        <v>23</v>
      </c>
      <c r="N22" s="8" t="s">
        <v>144</v>
      </c>
      <c r="O22" s="8" t="s">
        <v>25</v>
      </c>
      <c r="P22" s="3" t="s">
        <v>26</v>
      </c>
      <c r="Q22" s="8" t="s">
        <v>145</v>
      </c>
      <c r="R22" s="7">
        <v>9918420798</v>
      </c>
      <c r="S22" s="12" t="s">
        <v>146</v>
      </c>
      <c r="T22" s="44" t="s">
        <v>410</v>
      </c>
      <c r="U22" s="52" t="s">
        <v>414</v>
      </c>
      <c r="V22" s="79" t="s">
        <v>414</v>
      </c>
      <c r="W22" s="2">
        <v>23</v>
      </c>
      <c r="X22" s="2">
        <f t="shared" si="0"/>
        <v>100</v>
      </c>
      <c r="Y22" s="2">
        <v>15</v>
      </c>
      <c r="Z22" s="2">
        <f t="shared" si="1"/>
        <v>38</v>
      </c>
      <c r="AA22" s="2">
        <f t="shared" si="2"/>
        <v>97.435897435897431</v>
      </c>
      <c r="AB22" s="2">
        <v>26</v>
      </c>
      <c r="AC22" s="2">
        <f t="shared" si="3"/>
        <v>64</v>
      </c>
      <c r="AD22" s="2">
        <f t="shared" si="4"/>
        <v>98.461538461538467</v>
      </c>
      <c r="AE22" s="2">
        <v>22</v>
      </c>
      <c r="AF22" s="2">
        <f t="shared" si="5"/>
        <v>86</v>
      </c>
      <c r="AG22" s="2">
        <f t="shared" si="6"/>
        <v>98.850574712643677</v>
      </c>
      <c r="AH22" s="2">
        <v>13</v>
      </c>
      <c r="AI22" s="2">
        <v>5</v>
      </c>
      <c r="AJ22" s="2">
        <v>12</v>
      </c>
      <c r="AK22" s="2">
        <v>4</v>
      </c>
      <c r="AL22" s="2">
        <v>4</v>
      </c>
      <c r="AM22" s="2">
        <f t="shared" si="7"/>
        <v>38</v>
      </c>
      <c r="AN22" s="2" t="s">
        <v>1075</v>
      </c>
      <c r="AO22" s="2" t="s">
        <v>1076</v>
      </c>
      <c r="AP22" s="2" t="s">
        <v>1077</v>
      </c>
      <c r="AQ22" s="2" t="s">
        <v>1078</v>
      </c>
      <c r="AR22" s="2" t="s">
        <v>1079</v>
      </c>
      <c r="AS22" s="2" t="s">
        <v>1080</v>
      </c>
      <c r="AT22" s="2" t="s">
        <v>1081</v>
      </c>
      <c r="AU22" s="2" t="s">
        <v>1082</v>
      </c>
      <c r="AV22" s="2" t="s">
        <v>1083</v>
      </c>
      <c r="AW22" s="2" t="s">
        <v>1084</v>
      </c>
      <c r="AX22" s="2" t="s">
        <v>1085</v>
      </c>
      <c r="AY22" s="2" t="s">
        <v>1086</v>
      </c>
      <c r="AZ22" s="2" t="s">
        <v>1087</v>
      </c>
      <c r="BA22" s="2" t="s">
        <v>1088</v>
      </c>
      <c r="BB22" s="2" t="s">
        <v>1089</v>
      </c>
      <c r="BC22" s="2" t="s">
        <v>1090</v>
      </c>
      <c r="BD22" s="2" t="s">
        <v>1091</v>
      </c>
      <c r="BE22" s="2" t="s">
        <v>1092</v>
      </c>
      <c r="BF22" s="2" t="s">
        <v>1093</v>
      </c>
      <c r="BG22" s="2" t="s">
        <v>1094</v>
      </c>
      <c r="BH22" s="2" t="s">
        <v>1095</v>
      </c>
      <c r="BI22" s="2" t="s">
        <v>1096</v>
      </c>
      <c r="BJ22" s="2" t="s">
        <v>1097</v>
      </c>
      <c r="BK22" s="2" t="s">
        <v>1098</v>
      </c>
      <c r="BL22" s="2" t="s">
        <v>1099</v>
      </c>
      <c r="BM22" s="2" t="s">
        <v>1100</v>
      </c>
      <c r="BN22" s="2" t="s">
        <v>1101</v>
      </c>
      <c r="BO22" s="2" t="s">
        <v>1102</v>
      </c>
      <c r="BP22" s="2" t="s">
        <v>1103</v>
      </c>
      <c r="BQ22" s="2" t="s">
        <v>1104</v>
      </c>
    </row>
    <row r="23" spans="1:69" x14ac:dyDescent="0.35">
      <c r="A23" s="2">
        <v>22</v>
      </c>
      <c r="B23" s="2" t="s">
        <v>2062</v>
      </c>
      <c r="C23" s="3">
        <v>40139</v>
      </c>
      <c r="D23" s="3">
        <v>1252266436</v>
      </c>
      <c r="E23" s="2">
        <v>21184653009</v>
      </c>
      <c r="F23" s="4" t="s">
        <v>251</v>
      </c>
      <c r="G23" s="5" t="s">
        <v>57</v>
      </c>
      <c r="H23" s="5" t="s">
        <v>57</v>
      </c>
      <c r="I23" s="5" t="s">
        <v>32</v>
      </c>
      <c r="J23" s="6" t="s">
        <v>252</v>
      </c>
      <c r="K23" s="6" t="s">
        <v>253</v>
      </c>
      <c r="L23" s="6" t="s">
        <v>254</v>
      </c>
      <c r="M23" s="7" t="s">
        <v>23</v>
      </c>
      <c r="N23" s="8" t="s">
        <v>255</v>
      </c>
      <c r="O23" s="8" t="s">
        <v>25</v>
      </c>
      <c r="P23" s="3" t="s">
        <v>26</v>
      </c>
      <c r="Q23" s="6" t="s">
        <v>256</v>
      </c>
      <c r="R23" s="7">
        <v>7347759011</v>
      </c>
      <c r="S23" s="9" t="s">
        <v>257</v>
      </c>
      <c r="T23" s="46" t="s">
        <v>410</v>
      </c>
      <c r="U23" s="47"/>
      <c r="V23" s="78"/>
      <c r="W23" s="2">
        <v>23</v>
      </c>
      <c r="X23" s="2">
        <f t="shared" si="0"/>
        <v>100</v>
      </c>
      <c r="Y23" s="2">
        <v>16</v>
      </c>
      <c r="Z23" s="2">
        <f t="shared" si="1"/>
        <v>39</v>
      </c>
      <c r="AA23" s="2">
        <f t="shared" si="2"/>
        <v>100</v>
      </c>
      <c r="AB23" s="2">
        <v>26</v>
      </c>
      <c r="AC23" s="2">
        <f t="shared" si="3"/>
        <v>65</v>
      </c>
      <c r="AD23" s="2">
        <f t="shared" si="4"/>
        <v>100</v>
      </c>
      <c r="AE23" s="2">
        <v>22</v>
      </c>
      <c r="AF23" s="2">
        <f t="shared" si="5"/>
        <v>87</v>
      </c>
      <c r="AG23" s="2">
        <f t="shared" si="6"/>
        <v>100</v>
      </c>
      <c r="AH23" s="2">
        <v>14</v>
      </c>
      <c r="AI23" s="2">
        <v>9</v>
      </c>
      <c r="AJ23" s="2">
        <v>19</v>
      </c>
      <c r="AK23" s="2">
        <v>13</v>
      </c>
      <c r="AL23" s="2">
        <v>15</v>
      </c>
      <c r="AM23" s="2">
        <f t="shared" si="7"/>
        <v>70</v>
      </c>
      <c r="AN23" s="2" t="s">
        <v>1105</v>
      </c>
      <c r="AO23" s="2" t="s">
        <v>1106</v>
      </c>
      <c r="AP23" s="2" t="s">
        <v>1107</v>
      </c>
      <c r="AQ23" s="2" t="s">
        <v>1108</v>
      </c>
      <c r="AR23" s="2" t="s">
        <v>1109</v>
      </c>
      <c r="AS23" s="2" t="s">
        <v>1110</v>
      </c>
      <c r="AT23" s="2" t="s">
        <v>1111</v>
      </c>
      <c r="AU23" s="2" t="s">
        <v>1112</v>
      </c>
      <c r="AV23" s="2" t="s">
        <v>1113</v>
      </c>
      <c r="AW23" s="2" t="s">
        <v>1114</v>
      </c>
      <c r="AX23" s="2" t="s">
        <v>1115</v>
      </c>
      <c r="AY23" s="2" t="s">
        <v>1116</v>
      </c>
      <c r="AZ23" s="2" t="s">
        <v>1117</v>
      </c>
      <c r="BA23" s="2" t="s">
        <v>1118</v>
      </c>
      <c r="BB23" s="2" t="s">
        <v>1119</v>
      </c>
      <c r="BC23" s="2" t="s">
        <v>1120</v>
      </c>
      <c r="BD23" s="2" t="s">
        <v>1121</v>
      </c>
      <c r="BE23" s="2" t="s">
        <v>1122</v>
      </c>
      <c r="BF23" s="2" t="s">
        <v>1123</v>
      </c>
      <c r="BG23" s="2" t="s">
        <v>1124</v>
      </c>
      <c r="BH23" s="2" t="s">
        <v>1125</v>
      </c>
      <c r="BI23" s="2" t="s">
        <v>1126</v>
      </c>
      <c r="BJ23" s="2" t="s">
        <v>1127</v>
      </c>
      <c r="BK23" s="2" t="s">
        <v>1128</v>
      </c>
      <c r="BL23" s="2" t="s">
        <v>1129</v>
      </c>
      <c r="BM23" s="2" t="s">
        <v>1130</v>
      </c>
      <c r="BN23" s="2" t="s">
        <v>1131</v>
      </c>
      <c r="BO23" s="2" t="s">
        <v>1132</v>
      </c>
      <c r="BP23" s="2" t="s">
        <v>1133</v>
      </c>
      <c r="BQ23" s="2" t="s">
        <v>1134</v>
      </c>
    </row>
    <row r="24" spans="1:69" x14ac:dyDescent="0.35">
      <c r="A24" s="2">
        <v>23</v>
      </c>
      <c r="B24" s="2" t="s">
        <v>2062</v>
      </c>
      <c r="C24" s="3">
        <v>39033</v>
      </c>
      <c r="D24" s="3">
        <v>1252255658</v>
      </c>
      <c r="E24" s="2">
        <v>21122055237</v>
      </c>
      <c r="F24" s="10">
        <v>375327782079</v>
      </c>
      <c r="G24" s="21">
        <v>26</v>
      </c>
      <c r="H24" s="17" t="s">
        <v>74</v>
      </c>
      <c r="I24" s="21">
        <v>2008</v>
      </c>
      <c r="J24" s="66" t="s">
        <v>147</v>
      </c>
      <c r="K24" s="8" t="s">
        <v>148</v>
      </c>
      <c r="L24" s="8" t="s">
        <v>149</v>
      </c>
      <c r="M24" s="7" t="s">
        <v>23</v>
      </c>
      <c r="N24" s="8" t="s">
        <v>24</v>
      </c>
      <c r="O24" s="8" t="s">
        <v>25</v>
      </c>
      <c r="P24" s="3" t="s">
        <v>26</v>
      </c>
      <c r="Q24" s="8" t="s">
        <v>150</v>
      </c>
      <c r="R24" s="7">
        <v>9026392776</v>
      </c>
      <c r="S24" s="12" t="s">
        <v>151</v>
      </c>
      <c r="T24" s="44" t="s">
        <v>415</v>
      </c>
      <c r="U24" s="52" t="s">
        <v>414</v>
      </c>
      <c r="V24" s="79" t="s">
        <v>414</v>
      </c>
      <c r="W24" s="2">
        <v>10</v>
      </c>
      <c r="X24" s="2">
        <f t="shared" si="0"/>
        <v>43.478260869565219</v>
      </c>
      <c r="Y24" s="2">
        <v>7</v>
      </c>
      <c r="Z24" s="2">
        <f t="shared" si="1"/>
        <v>17</v>
      </c>
      <c r="AA24" s="2">
        <f t="shared" si="2"/>
        <v>43.589743589743591</v>
      </c>
      <c r="AB24" s="2">
        <v>19</v>
      </c>
      <c r="AC24" s="2">
        <f t="shared" si="3"/>
        <v>36</v>
      </c>
      <c r="AD24" s="2">
        <f t="shared" si="4"/>
        <v>55.384615384615387</v>
      </c>
      <c r="AE24" s="2">
        <v>14</v>
      </c>
      <c r="AF24" s="2">
        <f t="shared" si="5"/>
        <v>50</v>
      </c>
      <c r="AG24" s="2">
        <f t="shared" si="6"/>
        <v>57.47126436781609</v>
      </c>
      <c r="AH24" s="2">
        <v>0</v>
      </c>
      <c r="AI24" s="2">
        <v>0</v>
      </c>
      <c r="AJ24" s="2">
        <v>2</v>
      </c>
      <c r="AK24" s="2">
        <v>0</v>
      </c>
      <c r="AL24" s="2">
        <v>1</v>
      </c>
      <c r="AM24" s="2">
        <f t="shared" si="7"/>
        <v>3</v>
      </c>
      <c r="AN24" s="2" t="s">
        <v>1135</v>
      </c>
      <c r="AO24" s="2" t="s">
        <v>1136</v>
      </c>
      <c r="AP24" s="2" t="s">
        <v>1137</v>
      </c>
      <c r="AQ24" s="2" t="s">
        <v>1138</v>
      </c>
      <c r="AR24" s="2" t="s">
        <v>1139</v>
      </c>
      <c r="AS24" s="2" t="s">
        <v>1140</v>
      </c>
      <c r="AT24" s="2" t="s">
        <v>1141</v>
      </c>
      <c r="AU24" s="2" t="s">
        <v>1142</v>
      </c>
      <c r="AV24" s="2" t="s">
        <v>1143</v>
      </c>
      <c r="AW24" s="2" t="s">
        <v>1144</v>
      </c>
      <c r="AX24" s="2" t="s">
        <v>1145</v>
      </c>
      <c r="AY24" s="2" t="s">
        <v>1146</v>
      </c>
      <c r="AZ24" s="2" t="s">
        <v>1147</v>
      </c>
      <c r="BA24" s="2" t="s">
        <v>1148</v>
      </c>
      <c r="BB24" s="2" t="s">
        <v>1149</v>
      </c>
      <c r="BC24" s="2" t="s">
        <v>1150</v>
      </c>
      <c r="BD24" s="2" t="s">
        <v>1151</v>
      </c>
      <c r="BE24" s="2" t="s">
        <v>1152</v>
      </c>
      <c r="BF24" s="2" t="s">
        <v>1153</v>
      </c>
      <c r="BG24" s="2" t="s">
        <v>1154</v>
      </c>
      <c r="BH24" s="2" t="s">
        <v>1155</v>
      </c>
      <c r="BI24" s="2" t="s">
        <v>1156</v>
      </c>
      <c r="BJ24" s="2" t="s">
        <v>1157</v>
      </c>
      <c r="BK24" s="2" t="s">
        <v>1158</v>
      </c>
      <c r="BL24" s="2" t="s">
        <v>1159</v>
      </c>
      <c r="BM24" s="2" t="s">
        <v>1160</v>
      </c>
      <c r="BN24" s="2" t="s">
        <v>1161</v>
      </c>
      <c r="BO24" s="2" t="s">
        <v>1162</v>
      </c>
      <c r="BP24" s="2" t="s">
        <v>1163</v>
      </c>
      <c r="BQ24" s="2" t="s">
        <v>1164</v>
      </c>
    </row>
    <row r="25" spans="1:69" x14ac:dyDescent="0.35">
      <c r="A25" s="2">
        <v>24</v>
      </c>
      <c r="B25" s="2" t="s">
        <v>2062</v>
      </c>
      <c r="C25" s="3">
        <v>37228</v>
      </c>
      <c r="D25" s="3">
        <v>1252255661</v>
      </c>
      <c r="E25" s="2">
        <v>21607635206</v>
      </c>
      <c r="F25" s="10" t="s">
        <v>152</v>
      </c>
      <c r="G25" s="5" t="s">
        <v>153</v>
      </c>
      <c r="H25" s="5" t="s">
        <v>18</v>
      </c>
      <c r="I25" s="5" t="s">
        <v>19</v>
      </c>
      <c r="J25" s="6" t="s">
        <v>154</v>
      </c>
      <c r="K25" s="6" t="s">
        <v>155</v>
      </c>
      <c r="L25" s="6" t="s">
        <v>156</v>
      </c>
      <c r="M25" s="7" t="s">
        <v>23</v>
      </c>
      <c r="N25" s="8" t="s">
        <v>157</v>
      </c>
      <c r="O25" s="8" t="s">
        <v>47</v>
      </c>
      <c r="P25" s="3" t="s">
        <v>26</v>
      </c>
      <c r="Q25" s="6" t="s">
        <v>158</v>
      </c>
      <c r="R25" s="7">
        <v>7275130076</v>
      </c>
      <c r="S25" s="9" t="s">
        <v>159</v>
      </c>
      <c r="T25" s="44" t="s">
        <v>410</v>
      </c>
      <c r="U25" s="48"/>
      <c r="V25" s="80"/>
      <c r="W25" s="2">
        <v>21</v>
      </c>
      <c r="X25" s="2">
        <f t="shared" si="0"/>
        <v>91.304347826086953</v>
      </c>
      <c r="Y25" s="2">
        <v>15</v>
      </c>
      <c r="Z25" s="2">
        <f t="shared" si="1"/>
        <v>36</v>
      </c>
      <c r="AA25" s="2">
        <f t="shared" si="2"/>
        <v>92.307692307692307</v>
      </c>
      <c r="AB25" s="2">
        <v>23</v>
      </c>
      <c r="AC25" s="2">
        <f t="shared" si="3"/>
        <v>59</v>
      </c>
      <c r="AD25" s="2">
        <f t="shared" si="4"/>
        <v>90.769230769230774</v>
      </c>
      <c r="AE25" s="2">
        <v>21</v>
      </c>
      <c r="AF25" s="2">
        <f t="shared" si="5"/>
        <v>80</v>
      </c>
      <c r="AG25" s="2">
        <f t="shared" si="6"/>
        <v>91.954022988505741</v>
      </c>
      <c r="AH25" s="2">
        <v>16</v>
      </c>
      <c r="AI25" s="2">
        <v>12</v>
      </c>
      <c r="AJ25" s="2">
        <v>20</v>
      </c>
      <c r="AK25" s="2">
        <v>17</v>
      </c>
      <c r="AL25" s="2">
        <v>13</v>
      </c>
      <c r="AM25" s="2">
        <f t="shared" si="7"/>
        <v>78</v>
      </c>
      <c r="AN25" s="2" t="s">
        <v>1165</v>
      </c>
      <c r="AO25" s="2" t="s">
        <v>1166</v>
      </c>
      <c r="AP25" s="2" t="s">
        <v>1167</v>
      </c>
      <c r="AQ25" s="2" t="s">
        <v>1168</v>
      </c>
      <c r="AR25" s="2" t="s">
        <v>1169</v>
      </c>
      <c r="AS25" s="2" t="s">
        <v>1170</v>
      </c>
      <c r="AT25" s="2" t="s">
        <v>1171</v>
      </c>
      <c r="AU25" s="2" t="s">
        <v>1172</v>
      </c>
      <c r="AV25" s="2" t="s">
        <v>1173</v>
      </c>
      <c r="AW25" s="2" t="s">
        <v>1174</v>
      </c>
      <c r="AX25" s="2" t="s">
        <v>1175</v>
      </c>
      <c r="AY25" s="2" t="s">
        <v>1176</v>
      </c>
      <c r="AZ25" s="2" t="s">
        <v>1177</v>
      </c>
      <c r="BA25" s="2" t="s">
        <v>1178</v>
      </c>
      <c r="BB25" s="2" t="s">
        <v>1179</v>
      </c>
      <c r="BC25" s="2" t="s">
        <v>1180</v>
      </c>
      <c r="BD25" s="2" t="s">
        <v>1181</v>
      </c>
      <c r="BE25" s="2" t="s">
        <v>1182</v>
      </c>
      <c r="BF25" s="2" t="s">
        <v>1183</v>
      </c>
      <c r="BG25" s="2" t="s">
        <v>1184</v>
      </c>
      <c r="BH25" s="2" t="s">
        <v>1185</v>
      </c>
      <c r="BI25" s="2" t="s">
        <v>1186</v>
      </c>
      <c r="BJ25" s="2" t="s">
        <v>1187</v>
      </c>
      <c r="BK25" s="2" t="s">
        <v>1188</v>
      </c>
      <c r="BL25" s="2" t="s">
        <v>1189</v>
      </c>
      <c r="BM25" s="2" t="s">
        <v>1190</v>
      </c>
      <c r="BN25" s="2" t="s">
        <v>1191</v>
      </c>
      <c r="BO25" s="2" t="s">
        <v>1192</v>
      </c>
      <c r="BP25" s="2" t="s">
        <v>1193</v>
      </c>
      <c r="BQ25" s="2" t="s">
        <v>1194</v>
      </c>
    </row>
    <row r="26" spans="1:69" ht="16.5" x14ac:dyDescent="0.35">
      <c r="A26" s="2">
        <v>25</v>
      </c>
      <c r="B26" s="2" t="s">
        <v>2062</v>
      </c>
      <c r="C26" s="15">
        <v>37281</v>
      </c>
      <c r="D26" s="3">
        <v>1252255666</v>
      </c>
      <c r="E26" s="2">
        <v>21416650253</v>
      </c>
      <c r="F26" s="10" t="s">
        <v>160</v>
      </c>
      <c r="G26" s="5" t="s">
        <v>119</v>
      </c>
      <c r="H26" s="5" t="s">
        <v>41</v>
      </c>
      <c r="I26" s="5" t="s">
        <v>120</v>
      </c>
      <c r="J26" s="6" t="s">
        <v>161</v>
      </c>
      <c r="K26" s="6" t="s">
        <v>162</v>
      </c>
      <c r="L26" s="6" t="s">
        <v>163</v>
      </c>
      <c r="M26" s="7" t="s">
        <v>23</v>
      </c>
      <c r="N26" s="8" t="s">
        <v>164</v>
      </c>
      <c r="O26" s="8" t="s">
        <v>25</v>
      </c>
      <c r="P26" s="3" t="s">
        <v>26</v>
      </c>
      <c r="Q26" s="6" t="s">
        <v>132</v>
      </c>
      <c r="R26" s="7">
        <v>7052466964</v>
      </c>
      <c r="S26" s="9" t="s">
        <v>165</v>
      </c>
      <c r="T26" s="44" t="s">
        <v>410</v>
      </c>
      <c r="U26" s="48"/>
      <c r="V26" s="80"/>
      <c r="W26" s="2">
        <v>19</v>
      </c>
      <c r="X26" s="2">
        <f t="shared" si="0"/>
        <v>82.608695652173907</v>
      </c>
      <c r="Y26" s="2">
        <v>14</v>
      </c>
      <c r="Z26" s="2">
        <f t="shared" si="1"/>
        <v>33</v>
      </c>
      <c r="AA26" s="2">
        <f t="shared" si="2"/>
        <v>84.615384615384613</v>
      </c>
      <c r="AB26" s="2">
        <v>26</v>
      </c>
      <c r="AC26" s="2">
        <f t="shared" si="3"/>
        <v>59</v>
      </c>
      <c r="AD26" s="2">
        <f t="shared" si="4"/>
        <v>90.769230769230774</v>
      </c>
      <c r="AE26" s="2">
        <v>13</v>
      </c>
      <c r="AF26" s="2">
        <f t="shared" si="5"/>
        <v>72</v>
      </c>
      <c r="AG26" s="2">
        <f t="shared" si="6"/>
        <v>82.758620689655174</v>
      </c>
      <c r="AH26" s="2">
        <v>8</v>
      </c>
      <c r="AI26" s="2">
        <v>5</v>
      </c>
      <c r="AJ26" s="2">
        <v>7</v>
      </c>
      <c r="AK26" s="2">
        <v>0</v>
      </c>
      <c r="AL26" s="2">
        <v>1</v>
      </c>
      <c r="AM26" s="2">
        <f t="shared" si="7"/>
        <v>21</v>
      </c>
      <c r="AN26" s="2" t="s">
        <v>1195</v>
      </c>
      <c r="AO26" s="2" t="s">
        <v>1196</v>
      </c>
      <c r="AP26" s="2" t="s">
        <v>1197</v>
      </c>
      <c r="AQ26" s="2" t="s">
        <v>1198</v>
      </c>
      <c r="AR26" s="2" t="s">
        <v>1199</v>
      </c>
      <c r="AS26" s="2" t="s">
        <v>1200</v>
      </c>
      <c r="AT26" s="2" t="s">
        <v>1201</v>
      </c>
      <c r="AU26" s="2" t="s">
        <v>1202</v>
      </c>
      <c r="AV26" s="2" t="s">
        <v>1203</v>
      </c>
      <c r="AW26" s="2" t="s">
        <v>1204</v>
      </c>
      <c r="AX26" s="2" t="s">
        <v>1205</v>
      </c>
      <c r="AY26" s="2" t="s">
        <v>1206</v>
      </c>
      <c r="AZ26" s="2" t="s">
        <v>1207</v>
      </c>
      <c r="BA26" s="2" t="s">
        <v>1208</v>
      </c>
      <c r="BB26" s="2" t="s">
        <v>1209</v>
      </c>
      <c r="BC26" s="2" t="s">
        <v>1210</v>
      </c>
      <c r="BD26" s="2" t="s">
        <v>1211</v>
      </c>
      <c r="BE26" s="2" t="s">
        <v>1212</v>
      </c>
      <c r="BF26" s="2" t="s">
        <v>1213</v>
      </c>
      <c r="BG26" s="2" t="s">
        <v>1214</v>
      </c>
      <c r="BH26" s="2" t="s">
        <v>1215</v>
      </c>
      <c r="BI26" s="2" t="s">
        <v>1216</v>
      </c>
      <c r="BJ26" s="2" t="s">
        <v>1217</v>
      </c>
      <c r="BK26" s="2" t="s">
        <v>1218</v>
      </c>
      <c r="BL26" s="2" t="s">
        <v>1219</v>
      </c>
      <c r="BM26" s="2" t="s">
        <v>1220</v>
      </c>
      <c r="BN26" s="2" t="s">
        <v>1221</v>
      </c>
      <c r="BO26" s="2" t="s">
        <v>1222</v>
      </c>
      <c r="BP26" s="2" t="s">
        <v>1223</v>
      </c>
      <c r="BQ26" s="2" t="s">
        <v>1224</v>
      </c>
    </row>
    <row r="27" spans="1:69" x14ac:dyDescent="0.35">
      <c r="A27" s="2">
        <v>26</v>
      </c>
      <c r="B27" s="2" t="s">
        <v>2062</v>
      </c>
      <c r="C27" s="3">
        <v>37232</v>
      </c>
      <c r="D27" s="3">
        <v>1252255670</v>
      </c>
      <c r="E27" s="2">
        <v>21373952980</v>
      </c>
      <c r="F27" s="10" t="s">
        <v>166</v>
      </c>
      <c r="G27" s="5" t="s">
        <v>94</v>
      </c>
      <c r="H27" s="5" t="s">
        <v>95</v>
      </c>
      <c r="I27" s="5" t="s">
        <v>120</v>
      </c>
      <c r="J27" s="6" t="s">
        <v>167</v>
      </c>
      <c r="K27" s="6" t="s">
        <v>168</v>
      </c>
      <c r="L27" s="6" t="s">
        <v>169</v>
      </c>
      <c r="M27" s="7" t="s">
        <v>23</v>
      </c>
      <c r="N27" s="8" t="s">
        <v>24</v>
      </c>
      <c r="O27" s="8" t="s">
        <v>25</v>
      </c>
      <c r="P27" s="3" t="s">
        <v>26</v>
      </c>
      <c r="Q27" s="6" t="s">
        <v>170</v>
      </c>
      <c r="R27" s="7">
        <v>9936431332</v>
      </c>
      <c r="S27" s="9" t="s">
        <v>171</v>
      </c>
      <c r="T27" s="44" t="s">
        <v>410</v>
      </c>
      <c r="U27" s="48"/>
      <c r="V27" s="80"/>
      <c r="W27" s="2">
        <v>21</v>
      </c>
      <c r="X27" s="2">
        <f t="shared" si="0"/>
        <v>91.304347826086953</v>
      </c>
      <c r="Y27" s="2">
        <v>15</v>
      </c>
      <c r="Z27" s="2">
        <f t="shared" si="1"/>
        <v>36</v>
      </c>
      <c r="AA27" s="2">
        <f t="shared" si="2"/>
        <v>92.307692307692307</v>
      </c>
      <c r="AB27" s="2">
        <v>25</v>
      </c>
      <c r="AC27" s="2">
        <f t="shared" si="3"/>
        <v>61</v>
      </c>
      <c r="AD27" s="2">
        <f t="shared" si="4"/>
        <v>93.84615384615384</v>
      </c>
      <c r="AE27" s="2">
        <v>22</v>
      </c>
      <c r="AF27" s="2">
        <f t="shared" si="5"/>
        <v>83</v>
      </c>
      <c r="AG27" s="2">
        <f t="shared" si="6"/>
        <v>95.402298850574709</v>
      </c>
      <c r="AH27" s="2">
        <v>12</v>
      </c>
      <c r="AI27" s="2">
        <v>10</v>
      </c>
      <c r="AJ27" s="2">
        <v>19</v>
      </c>
      <c r="AK27" s="2">
        <v>13</v>
      </c>
      <c r="AL27" s="2">
        <v>7</v>
      </c>
      <c r="AM27" s="2">
        <f t="shared" si="7"/>
        <v>61</v>
      </c>
      <c r="AN27" s="2" t="s">
        <v>1225</v>
      </c>
      <c r="AO27" s="2" t="s">
        <v>1226</v>
      </c>
      <c r="AP27" s="2" t="s">
        <v>1227</v>
      </c>
      <c r="AQ27" s="2" t="s">
        <v>1228</v>
      </c>
      <c r="AR27" s="2" t="s">
        <v>1229</v>
      </c>
      <c r="AS27" s="2" t="s">
        <v>1230</v>
      </c>
      <c r="AT27" s="2" t="s">
        <v>1231</v>
      </c>
      <c r="AU27" s="2" t="s">
        <v>1232</v>
      </c>
      <c r="AV27" s="2" t="s">
        <v>1233</v>
      </c>
      <c r="AW27" s="2" t="s">
        <v>1234</v>
      </c>
      <c r="AX27" s="2" t="s">
        <v>1235</v>
      </c>
      <c r="AY27" s="2" t="s">
        <v>1236</v>
      </c>
      <c r="AZ27" s="2" t="s">
        <v>1237</v>
      </c>
      <c r="BA27" s="2" t="s">
        <v>1238</v>
      </c>
      <c r="BB27" s="2" t="s">
        <v>1239</v>
      </c>
      <c r="BC27" s="2" t="s">
        <v>1240</v>
      </c>
      <c r="BD27" s="2" t="s">
        <v>1241</v>
      </c>
      <c r="BE27" s="2" t="s">
        <v>1242</v>
      </c>
      <c r="BF27" s="2" t="s">
        <v>1243</v>
      </c>
      <c r="BG27" s="2" t="s">
        <v>1244</v>
      </c>
      <c r="BH27" s="2" t="s">
        <v>1245</v>
      </c>
      <c r="BI27" s="2" t="s">
        <v>1246</v>
      </c>
      <c r="BJ27" s="2" t="s">
        <v>1247</v>
      </c>
      <c r="BK27" s="2" t="s">
        <v>1248</v>
      </c>
      <c r="BL27" s="2" t="s">
        <v>1249</v>
      </c>
      <c r="BM27" s="2" t="s">
        <v>1250</v>
      </c>
      <c r="BN27" s="2" t="s">
        <v>1251</v>
      </c>
      <c r="BO27" s="2" t="s">
        <v>1252</v>
      </c>
      <c r="BP27" s="2" t="s">
        <v>1253</v>
      </c>
      <c r="BQ27" s="2" t="s">
        <v>1254</v>
      </c>
    </row>
    <row r="28" spans="1:69" x14ac:dyDescent="0.35">
      <c r="A28" s="2">
        <v>27</v>
      </c>
      <c r="B28" s="2" t="s">
        <v>2062</v>
      </c>
      <c r="C28" s="3">
        <v>39007</v>
      </c>
      <c r="D28" s="3">
        <v>1252255676</v>
      </c>
      <c r="E28" s="2">
        <v>21103030347</v>
      </c>
      <c r="F28" s="22">
        <v>326247983646</v>
      </c>
      <c r="G28" s="23">
        <v>13</v>
      </c>
      <c r="H28" s="23" t="s">
        <v>95</v>
      </c>
      <c r="I28" s="23">
        <v>2008</v>
      </c>
      <c r="J28" s="24" t="s">
        <v>172</v>
      </c>
      <c r="K28" s="25" t="s">
        <v>173</v>
      </c>
      <c r="L28" s="25" t="s">
        <v>174</v>
      </c>
      <c r="M28" s="26" t="s">
        <v>23</v>
      </c>
      <c r="N28" s="8" t="s">
        <v>175</v>
      </c>
      <c r="O28" s="25" t="s">
        <v>47</v>
      </c>
      <c r="P28" s="27" t="s">
        <v>26</v>
      </c>
      <c r="Q28" s="25" t="s">
        <v>176</v>
      </c>
      <c r="R28" s="26">
        <v>9452863359</v>
      </c>
      <c r="S28" s="28" t="s">
        <v>177</v>
      </c>
      <c r="T28" s="53" t="s">
        <v>411</v>
      </c>
      <c r="U28" s="54" t="s">
        <v>420</v>
      </c>
      <c r="V28" s="82" t="s">
        <v>417</v>
      </c>
      <c r="W28" s="2">
        <v>17</v>
      </c>
      <c r="X28" s="2">
        <f t="shared" si="0"/>
        <v>73.91304347826086</v>
      </c>
      <c r="Y28" s="2">
        <v>12</v>
      </c>
      <c r="Z28" s="2">
        <f t="shared" si="1"/>
        <v>29</v>
      </c>
      <c r="AA28" s="2">
        <f t="shared" si="2"/>
        <v>74.358974358974365</v>
      </c>
      <c r="AB28" s="2">
        <v>26</v>
      </c>
      <c r="AC28" s="2">
        <f t="shared" si="3"/>
        <v>55</v>
      </c>
      <c r="AD28" s="2">
        <f t="shared" si="4"/>
        <v>84.615384615384613</v>
      </c>
      <c r="AE28" s="2">
        <v>21</v>
      </c>
      <c r="AF28" s="2">
        <f t="shared" si="5"/>
        <v>76</v>
      </c>
      <c r="AG28" s="2">
        <f t="shared" si="6"/>
        <v>87.356321839080465</v>
      </c>
      <c r="AH28" s="2">
        <v>16</v>
      </c>
      <c r="AI28" s="2">
        <v>5</v>
      </c>
      <c r="AJ28" s="2">
        <v>12</v>
      </c>
      <c r="AK28" s="2">
        <v>8</v>
      </c>
      <c r="AL28" s="2">
        <v>8</v>
      </c>
      <c r="AM28" s="2">
        <f t="shared" si="7"/>
        <v>49</v>
      </c>
      <c r="AN28" s="2" t="s">
        <v>1255</v>
      </c>
      <c r="AO28" s="2" t="s">
        <v>1256</v>
      </c>
      <c r="AP28" s="2" t="s">
        <v>1257</v>
      </c>
      <c r="AQ28" s="2" t="s">
        <v>1258</v>
      </c>
      <c r="AR28" s="2" t="s">
        <v>1259</v>
      </c>
      <c r="AS28" s="2" t="s">
        <v>1260</v>
      </c>
      <c r="AT28" s="2" t="s">
        <v>1261</v>
      </c>
      <c r="AU28" s="2" t="s">
        <v>1262</v>
      </c>
      <c r="AV28" s="2" t="s">
        <v>1263</v>
      </c>
      <c r="AW28" s="2" t="s">
        <v>1264</v>
      </c>
      <c r="AX28" s="2" t="s">
        <v>1265</v>
      </c>
      <c r="AY28" s="2" t="s">
        <v>1266</v>
      </c>
      <c r="AZ28" s="2" t="s">
        <v>1267</v>
      </c>
      <c r="BA28" s="2" t="s">
        <v>1268</v>
      </c>
      <c r="BB28" s="2" t="s">
        <v>1269</v>
      </c>
      <c r="BC28" s="2" t="s">
        <v>1270</v>
      </c>
      <c r="BD28" s="2" t="s">
        <v>1271</v>
      </c>
      <c r="BE28" s="2" t="s">
        <v>1272</v>
      </c>
      <c r="BF28" s="2" t="s">
        <v>1273</v>
      </c>
      <c r="BG28" s="2" t="s">
        <v>1274</v>
      </c>
      <c r="BH28" s="2" t="s">
        <v>1275</v>
      </c>
      <c r="BI28" s="2" t="s">
        <v>1276</v>
      </c>
      <c r="BJ28" s="2" t="s">
        <v>1277</v>
      </c>
      <c r="BK28" s="2" t="s">
        <v>1278</v>
      </c>
      <c r="BL28" s="2" t="s">
        <v>1279</v>
      </c>
      <c r="BM28" s="2" t="s">
        <v>1280</v>
      </c>
      <c r="BN28" s="2" t="s">
        <v>1281</v>
      </c>
      <c r="BO28" s="2" t="s">
        <v>1282</v>
      </c>
      <c r="BP28" s="2" t="s">
        <v>1283</v>
      </c>
      <c r="BQ28" s="2" t="s">
        <v>1284</v>
      </c>
    </row>
    <row r="29" spans="1:69" x14ac:dyDescent="0.35">
      <c r="A29" s="2">
        <v>28</v>
      </c>
      <c r="B29" s="2" t="s">
        <v>2062</v>
      </c>
      <c r="C29" s="3">
        <v>37260</v>
      </c>
      <c r="D29" s="3">
        <v>1252255679</v>
      </c>
      <c r="E29" s="2">
        <v>21251968693</v>
      </c>
      <c r="F29" s="22">
        <v>702091095930</v>
      </c>
      <c r="G29" s="23" t="s">
        <v>73</v>
      </c>
      <c r="H29" s="23" t="s">
        <v>119</v>
      </c>
      <c r="I29" s="23" t="s">
        <v>19</v>
      </c>
      <c r="J29" s="25" t="s">
        <v>178</v>
      </c>
      <c r="K29" s="25" t="s">
        <v>179</v>
      </c>
      <c r="L29" s="25" t="s">
        <v>180</v>
      </c>
      <c r="M29" s="26" t="s">
        <v>23</v>
      </c>
      <c r="N29" s="8" t="s">
        <v>24</v>
      </c>
      <c r="O29" s="25" t="s">
        <v>25</v>
      </c>
      <c r="P29" s="27" t="s">
        <v>26</v>
      </c>
      <c r="Q29" s="25" t="s">
        <v>181</v>
      </c>
      <c r="R29" s="26">
        <v>9918881937</v>
      </c>
      <c r="S29" s="29" t="s">
        <v>182</v>
      </c>
      <c r="T29" s="53" t="s">
        <v>410</v>
      </c>
      <c r="U29" s="55" t="s">
        <v>414</v>
      </c>
      <c r="V29" s="83" t="s">
        <v>414</v>
      </c>
      <c r="W29" s="2">
        <v>19</v>
      </c>
      <c r="X29" s="2">
        <f t="shared" si="0"/>
        <v>82.608695652173907</v>
      </c>
      <c r="Y29" s="2">
        <v>14</v>
      </c>
      <c r="Z29" s="2">
        <f t="shared" si="1"/>
        <v>33</v>
      </c>
      <c r="AA29" s="2">
        <f t="shared" si="2"/>
        <v>84.615384615384613</v>
      </c>
      <c r="AB29" s="2">
        <v>25</v>
      </c>
      <c r="AC29" s="2">
        <f t="shared" si="3"/>
        <v>58</v>
      </c>
      <c r="AD29" s="2">
        <f t="shared" si="4"/>
        <v>89.230769230769241</v>
      </c>
      <c r="AE29" s="2">
        <v>19</v>
      </c>
      <c r="AF29" s="2">
        <f t="shared" si="5"/>
        <v>77</v>
      </c>
      <c r="AG29" s="2">
        <f t="shared" si="6"/>
        <v>88.505747126436788</v>
      </c>
      <c r="AH29" s="2">
        <v>14</v>
      </c>
      <c r="AI29" s="2">
        <v>9</v>
      </c>
      <c r="AJ29" s="2">
        <v>18</v>
      </c>
      <c r="AK29" s="2">
        <v>9</v>
      </c>
      <c r="AL29" s="2">
        <v>14</v>
      </c>
      <c r="AM29" s="2">
        <f t="shared" si="7"/>
        <v>64</v>
      </c>
      <c r="AN29" s="2" t="s">
        <v>1285</v>
      </c>
      <c r="AO29" s="2" t="s">
        <v>1286</v>
      </c>
      <c r="AP29" s="2" t="s">
        <v>1287</v>
      </c>
      <c r="AQ29" s="2" t="s">
        <v>1288</v>
      </c>
      <c r="AR29" s="2" t="s">
        <v>1289</v>
      </c>
      <c r="AS29" s="2" t="s">
        <v>1290</v>
      </c>
      <c r="AT29" s="2" t="s">
        <v>1291</v>
      </c>
      <c r="AU29" s="2" t="s">
        <v>1292</v>
      </c>
      <c r="AV29" s="2" t="s">
        <v>1293</v>
      </c>
      <c r="AW29" s="2" t="s">
        <v>1294</v>
      </c>
      <c r="AX29" s="2" t="s">
        <v>1295</v>
      </c>
      <c r="AY29" s="2" t="s">
        <v>1296</v>
      </c>
      <c r="AZ29" s="2" t="s">
        <v>1297</v>
      </c>
      <c r="BA29" s="2" t="s">
        <v>1298</v>
      </c>
      <c r="BB29" s="2" t="s">
        <v>1299</v>
      </c>
      <c r="BC29" s="2" t="s">
        <v>1300</v>
      </c>
      <c r="BD29" s="2" t="s">
        <v>1301</v>
      </c>
      <c r="BE29" s="2" t="s">
        <v>1302</v>
      </c>
      <c r="BF29" s="2" t="s">
        <v>1303</v>
      </c>
      <c r="BG29" s="2" t="s">
        <v>1304</v>
      </c>
      <c r="BH29" s="2" t="s">
        <v>1305</v>
      </c>
      <c r="BI29" s="2" t="s">
        <v>1306</v>
      </c>
      <c r="BJ29" s="2" t="s">
        <v>1307</v>
      </c>
      <c r="BK29" s="2" t="s">
        <v>1308</v>
      </c>
      <c r="BL29" s="2" t="s">
        <v>1309</v>
      </c>
      <c r="BM29" s="2" t="s">
        <v>1310</v>
      </c>
      <c r="BN29" s="2" t="s">
        <v>1311</v>
      </c>
      <c r="BO29" s="2" t="s">
        <v>1312</v>
      </c>
      <c r="BP29" s="2" t="s">
        <v>1313</v>
      </c>
      <c r="BQ29" s="2" t="s">
        <v>1314</v>
      </c>
    </row>
    <row r="30" spans="1:69" x14ac:dyDescent="0.35">
      <c r="A30" s="2">
        <v>29</v>
      </c>
      <c r="B30" s="2" t="s">
        <v>2062</v>
      </c>
      <c r="C30" s="27">
        <v>37242</v>
      </c>
      <c r="D30" s="3">
        <v>1252255681</v>
      </c>
      <c r="E30" s="2">
        <v>21630284194</v>
      </c>
      <c r="F30" s="22">
        <v>551668261476</v>
      </c>
      <c r="G30" s="23" t="s">
        <v>31</v>
      </c>
      <c r="H30" s="23" t="s">
        <v>65</v>
      </c>
      <c r="I30" s="23" t="s">
        <v>32</v>
      </c>
      <c r="J30" s="68" t="s">
        <v>183</v>
      </c>
      <c r="K30" s="25" t="s">
        <v>184</v>
      </c>
      <c r="L30" s="25" t="s">
        <v>185</v>
      </c>
      <c r="M30" s="26" t="s">
        <v>23</v>
      </c>
      <c r="N30" s="8" t="s">
        <v>36</v>
      </c>
      <c r="O30" s="25" t="s">
        <v>37</v>
      </c>
      <c r="P30" s="27" t="s">
        <v>26</v>
      </c>
      <c r="Q30" s="25" t="s">
        <v>186</v>
      </c>
      <c r="R30" s="26">
        <v>9519722384</v>
      </c>
      <c r="S30" s="28" t="s">
        <v>187</v>
      </c>
      <c r="T30" s="53" t="s">
        <v>415</v>
      </c>
      <c r="U30" s="55" t="s">
        <v>414</v>
      </c>
      <c r="V30" s="83" t="s">
        <v>414</v>
      </c>
      <c r="W30" s="2">
        <v>20</v>
      </c>
      <c r="X30" s="2">
        <f t="shared" si="0"/>
        <v>86.956521739130437</v>
      </c>
      <c r="Y30" s="2">
        <v>16</v>
      </c>
      <c r="Z30" s="2">
        <f t="shared" si="1"/>
        <v>36</v>
      </c>
      <c r="AA30" s="2">
        <f t="shared" si="2"/>
        <v>92.307692307692307</v>
      </c>
      <c r="AB30" s="2">
        <v>26</v>
      </c>
      <c r="AC30" s="2">
        <f t="shared" si="3"/>
        <v>62</v>
      </c>
      <c r="AD30" s="2">
        <f t="shared" si="4"/>
        <v>95.384615384615387</v>
      </c>
      <c r="AE30" s="2">
        <v>22</v>
      </c>
      <c r="AF30" s="2">
        <f t="shared" si="5"/>
        <v>84</v>
      </c>
      <c r="AG30" s="2">
        <f t="shared" si="6"/>
        <v>96.551724137931032</v>
      </c>
      <c r="AH30" s="2">
        <v>14</v>
      </c>
      <c r="AI30" s="2">
        <v>3</v>
      </c>
      <c r="AJ30" s="2">
        <v>11</v>
      </c>
      <c r="AK30" s="2">
        <v>5</v>
      </c>
      <c r="AL30" s="2">
        <v>0</v>
      </c>
      <c r="AM30" s="2">
        <f t="shared" si="7"/>
        <v>33</v>
      </c>
      <c r="AN30" s="2" t="s">
        <v>1315</v>
      </c>
      <c r="AO30" s="2" t="s">
        <v>1316</v>
      </c>
      <c r="AP30" s="2" t="s">
        <v>1317</v>
      </c>
      <c r="AQ30" s="2" t="s">
        <v>1318</v>
      </c>
      <c r="AR30" s="2" t="s">
        <v>1319</v>
      </c>
      <c r="AS30" s="2" t="s">
        <v>1320</v>
      </c>
      <c r="AT30" s="2" t="s">
        <v>1321</v>
      </c>
      <c r="AU30" s="2" t="s">
        <v>1322</v>
      </c>
      <c r="AV30" s="2" t="s">
        <v>1323</v>
      </c>
      <c r="AW30" s="2" t="s">
        <v>1324</v>
      </c>
      <c r="AX30" s="2" t="s">
        <v>1325</v>
      </c>
      <c r="AY30" s="2" t="s">
        <v>1326</v>
      </c>
      <c r="AZ30" s="2" t="s">
        <v>1327</v>
      </c>
      <c r="BA30" s="2" t="s">
        <v>1328</v>
      </c>
      <c r="BB30" s="2" t="s">
        <v>1329</v>
      </c>
      <c r="BC30" s="2" t="s">
        <v>1330</v>
      </c>
      <c r="BD30" s="2" t="s">
        <v>1331</v>
      </c>
      <c r="BE30" s="2" t="s">
        <v>1332</v>
      </c>
      <c r="BF30" s="2" t="s">
        <v>1333</v>
      </c>
      <c r="BG30" s="2" t="s">
        <v>1334</v>
      </c>
      <c r="BH30" s="2" t="s">
        <v>1335</v>
      </c>
      <c r="BI30" s="2" t="s">
        <v>1336</v>
      </c>
      <c r="BJ30" s="2" t="s">
        <v>1337</v>
      </c>
      <c r="BK30" s="2" t="s">
        <v>1338</v>
      </c>
      <c r="BL30" s="2" t="s">
        <v>1339</v>
      </c>
      <c r="BM30" s="2" t="s">
        <v>1340</v>
      </c>
      <c r="BN30" s="2" t="s">
        <v>1341</v>
      </c>
      <c r="BO30" s="2" t="s">
        <v>1342</v>
      </c>
      <c r="BP30" s="2" t="s">
        <v>1343</v>
      </c>
      <c r="BQ30" s="2" t="s">
        <v>1344</v>
      </c>
    </row>
    <row r="31" spans="1:69" x14ac:dyDescent="0.35">
      <c r="A31" s="2">
        <v>30</v>
      </c>
      <c r="B31" s="2" t="s">
        <v>2062</v>
      </c>
      <c r="C31" s="3">
        <v>37181</v>
      </c>
      <c r="D31" s="3">
        <v>1252255682</v>
      </c>
      <c r="E31" s="2">
        <v>21429175519</v>
      </c>
      <c r="F31" s="22">
        <v>339463992456</v>
      </c>
      <c r="G31" s="23" t="s">
        <v>95</v>
      </c>
      <c r="H31" s="23" t="s">
        <v>81</v>
      </c>
      <c r="I31" s="23" t="s">
        <v>32</v>
      </c>
      <c r="J31" s="24" t="s">
        <v>188</v>
      </c>
      <c r="K31" s="25" t="s">
        <v>189</v>
      </c>
      <c r="L31" s="25" t="s">
        <v>190</v>
      </c>
      <c r="M31" s="26" t="s">
        <v>23</v>
      </c>
      <c r="N31" s="25" t="s">
        <v>164</v>
      </c>
      <c r="O31" s="25" t="s">
        <v>25</v>
      </c>
      <c r="P31" s="27" t="s">
        <v>26</v>
      </c>
      <c r="Q31" s="25" t="s">
        <v>191</v>
      </c>
      <c r="R31" s="26">
        <v>8858125721</v>
      </c>
      <c r="S31" s="30" t="s">
        <v>192</v>
      </c>
      <c r="T31" s="53" t="s">
        <v>411</v>
      </c>
      <c r="U31" s="69" t="s">
        <v>421</v>
      </c>
      <c r="V31" s="82" t="s">
        <v>417</v>
      </c>
      <c r="W31" s="2">
        <v>16</v>
      </c>
      <c r="X31" s="2">
        <f t="shared" si="0"/>
        <v>69.565217391304344</v>
      </c>
      <c r="Y31" s="2">
        <v>11</v>
      </c>
      <c r="Z31" s="2">
        <f t="shared" si="1"/>
        <v>27</v>
      </c>
      <c r="AA31" s="2">
        <f t="shared" si="2"/>
        <v>69.230769230769226</v>
      </c>
      <c r="AB31" s="2">
        <v>26</v>
      </c>
      <c r="AC31" s="2">
        <f t="shared" si="3"/>
        <v>53</v>
      </c>
      <c r="AD31" s="2">
        <f t="shared" si="4"/>
        <v>81.538461538461533</v>
      </c>
      <c r="AE31" s="2">
        <v>20</v>
      </c>
      <c r="AF31" s="2">
        <f t="shared" si="5"/>
        <v>73</v>
      </c>
      <c r="AG31" s="2">
        <f t="shared" si="6"/>
        <v>83.908045977011497</v>
      </c>
      <c r="AH31" s="2">
        <v>13</v>
      </c>
      <c r="AI31" s="2">
        <v>5</v>
      </c>
      <c r="AJ31" s="2">
        <v>12</v>
      </c>
      <c r="AK31" s="2">
        <v>6</v>
      </c>
      <c r="AL31" s="2">
        <v>4</v>
      </c>
      <c r="AM31" s="2">
        <f t="shared" si="7"/>
        <v>40</v>
      </c>
      <c r="AN31" s="2" t="s">
        <v>1345</v>
      </c>
      <c r="AO31" s="2" t="s">
        <v>1346</v>
      </c>
      <c r="AP31" s="2" t="s">
        <v>1347</v>
      </c>
      <c r="AQ31" s="2" t="s">
        <v>1348</v>
      </c>
      <c r="AR31" s="2" t="s">
        <v>1349</v>
      </c>
      <c r="AS31" s="2" t="s">
        <v>1320</v>
      </c>
      <c r="AT31" s="2" t="s">
        <v>1350</v>
      </c>
      <c r="AU31" s="2" t="s">
        <v>1322</v>
      </c>
      <c r="AV31" s="2" t="s">
        <v>1351</v>
      </c>
      <c r="AW31" s="2" t="s">
        <v>1324</v>
      </c>
      <c r="AX31" s="2" t="s">
        <v>1352</v>
      </c>
      <c r="AY31" s="2" t="s">
        <v>1326</v>
      </c>
      <c r="AZ31" s="2" t="s">
        <v>1327</v>
      </c>
      <c r="BA31" s="2" t="s">
        <v>1328</v>
      </c>
      <c r="BB31" s="2" t="s">
        <v>1329</v>
      </c>
      <c r="BC31" s="2" t="s">
        <v>1330</v>
      </c>
      <c r="BD31" s="2" t="s">
        <v>1353</v>
      </c>
      <c r="BE31" s="2" t="s">
        <v>1332</v>
      </c>
      <c r="BF31" s="2" t="s">
        <v>1354</v>
      </c>
      <c r="BG31" s="2" t="s">
        <v>1334</v>
      </c>
      <c r="BH31" s="2" t="s">
        <v>1335</v>
      </c>
      <c r="BI31" s="2" t="s">
        <v>1336</v>
      </c>
      <c r="BJ31" s="2" t="s">
        <v>1337</v>
      </c>
      <c r="BK31" s="2" t="s">
        <v>1338</v>
      </c>
      <c r="BL31" s="2" t="s">
        <v>1339</v>
      </c>
      <c r="BM31" s="2" t="s">
        <v>1340</v>
      </c>
      <c r="BN31" s="2" t="s">
        <v>1341</v>
      </c>
      <c r="BO31" s="2" t="s">
        <v>1342</v>
      </c>
      <c r="BP31" s="2" t="s">
        <v>1343</v>
      </c>
      <c r="BQ31" s="2" t="s">
        <v>1344</v>
      </c>
    </row>
    <row r="32" spans="1:69" x14ac:dyDescent="0.35">
      <c r="A32" s="2">
        <v>31</v>
      </c>
      <c r="B32" s="2" t="s">
        <v>2062</v>
      </c>
      <c r="C32" s="3">
        <v>37746</v>
      </c>
      <c r="D32" s="3">
        <v>1252255689</v>
      </c>
      <c r="E32" s="31">
        <v>21504052054</v>
      </c>
      <c r="F32" s="10" t="s">
        <v>193</v>
      </c>
      <c r="G32" s="5" t="s">
        <v>194</v>
      </c>
      <c r="H32" s="5" t="s">
        <v>31</v>
      </c>
      <c r="I32" s="5" t="s">
        <v>120</v>
      </c>
      <c r="J32" s="6" t="s">
        <v>195</v>
      </c>
      <c r="K32" s="6" t="s">
        <v>196</v>
      </c>
      <c r="L32" s="6" t="s">
        <v>197</v>
      </c>
      <c r="M32" s="7" t="s">
        <v>23</v>
      </c>
      <c r="N32" s="8" t="s">
        <v>175</v>
      </c>
      <c r="O32" s="8" t="s">
        <v>47</v>
      </c>
      <c r="P32" s="3" t="s">
        <v>26</v>
      </c>
      <c r="Q32" s="6" t="s">
        <v>198</v>
      </c>
      <c r="R32" s="7">
        <v>9125091601</v>
      </c>
      <c r="S32" s="9" t="s">
        <v>199</v>
      </c>
      <c r="T32" s="44" t="s">
        <v>410</v>
      </c>
      <c r="U32" s="56"/>
      <c r="V32" s="80"/>
      <c r="W32" s="2">
        <v>20</v>
      </c>
      <c r="X32" s="2">
        <f t="shared" si="0"/>
        <v>86.956521739130437</v>
      </c>
      <c r="Y32" s="2">
        <v>5</v>
      </c>
      <c r="Z32" s="2">
        <f t="shared" si="1"/>
        <v>25</v>
      </c>
      <c r="AA32" s="2">
        <f t="shared" si="2"/>
        <v>64.102564102564102</v>
      </c>
      <c r="AB32" s="2">
        <v>25</v>
      </c>
      <c r="AC32" s="2">
        <f t="shared" si="3"/>
        <v>50</v>
      </c>
      <c r="AD32" s="2">
        <f t="shared" si="4"/>
        <v>76.923076923076934</v>
      </c>
      <c r="AE32" s="2">
        <v>21</v>
      </c>
      <c r="AF32" s="2">
        <f t="shared" si="5"/>
        <v>71</v>
      </c>
      <c r="AG32" s="2">
        <f t="shared" si="6"/>
        <v>81.609195402298852</v>
      </c>
      <c r="AH32" s="2">
        <v>5</v>
      </c>
      <c r="AI32" s="2">
        <v>1</v>
      </c>
      <c r="AJ32" s="2">
        <v>0</v>
      </c>
      <c r="AK32" s="2">
        <v>0</v>
      </c>
      <c r="AL32" s="2">
        <v>0</v>
      </c>
      <c r="AM32" s="2">
        <f t="shared" si="7"/>
        <v>6</v>
      </c>
      <c r="AN32" s="2" t="s">
        <v>1355</v>
      </c>
      <c r="AO32" s="2" t="s">
        <v>1356</v>
      </c>
      <c r="AP32" s="2" t="s">
        <v>1357</v>
      </c>
      <c r="AQ32" s="2" t="s">
        <v>1358</v>
      </c>
      <c r="AR32" s="2" t="s">
        <v>1359</v>
      </c>
      <c r="AS32" s="2" t="s">
        <v>1360</v>
      </c>
      <c r="AT32" s="2" t="s">
        <v>1361</v>
      </c>
      <c r="AU32" s="2" t="s">
        <v>1362</v>
      </c>
      <c r="AV32" s="2" t="s">
        <v>1363</v>
      </c>
      <c r="AW32" s="2" t="s">
        <v>1364</v>
      </c>
      <c r="AX32" s="2" t="s">
        <v>1365</v>
      </c>
      <c r="AY32" s="2" t="s">
        <v>1366</v>
      </c>
      <c r="AZ32" s="2" t="s">
        <v>1367</v>
      </c>
      <c r="BA32" s="2" t="s">
        <v>1368</v>
      </c>
      <c r="BB32" s="2" t="s">
        <v>1369</v>
      </c>
      <c r="BC32" s="2" t="s">
        <v>1370</v>
      </c>
      <c r="BD32" s="2" t="s">
        <v>1371</v>
      </c>
      <c r="BE32" s="2" t="s">
        <v>1372</v>
      </c>
      <c r="BF32" s="2" t="s">
        <v>1373</v>
      </c>
      <c r="BG32" s="2" t="s">
        <v>1374</v>
      </c>
      <c r="BH32" s="2" t="s">
        <v>1375</v>
      </c>
      <c r="BI32" s="2" t="s">
        <v>1376</v>
      </c>
      <c r="BJ32" s="2" t="s">
        <v>1377</v>
      </c>
      <c r="BK32" s="2" t="s">
        <v>1378</v>
      </c>
      <c r="BL32" s="2" t="s">
        <v>1379</v>
      </c>
      <c r="BM32" s="2" t="s">
        <v>1380</v>
      </c>
      <c r="BN32" s="2" t="s">
        <v>1381</v>
      </c>
      <c r="BO32" s="2" t="s">
        <v>1382</v>
      </c>
      <c r="BP32" s="2" t="s">
        <v>1383</v>
      </c>
      <c r="BQ32" s="2" t="s">
        <v>1384</v>
      </c>
    </row>
    <row r="33" spans="1:69" x14ac:dyDescent="0.35">
      <c r="A33" s="2">
        <v>32</v>
      </c>
      <c r="B33" s="2" t="s">
        <v>2062</v>
      </c>
      <c r="C33" s="3">
        <v>39029</v>
      </c>
      <c r="D33" s="3">
        <v>1252255701</v>
      </c>
      <c r="E33" s="31">
        <v>21264654264</v>
      </c>
      <c r="F33" s="10">
        <v>800328553493</v>
      </c>
      <c r="G33" s="5">
        <v>14</v>
      </c>
      <c r="H33" s="5" t="s">
        <v>89</v>
      </c>
      <c r="I33" s="5">
        <v>2009</v>
      </c>
      <c r="J33" s="6" t="s">
        <v>200</v>
      </c>
      <c r="K33" s="6" t="s">
        <v>201</v>
      </c>
      <c r="L33" s="6" t="s">
        <v>202</v>
      </c>
      <c r="M33" s="7" t="s">
        <v>23</v>
      </c>
      <c r="N33" s="8" t="s">
        <v>24</v>
      </c>
      <c r="O33" s="8" t="s">
        <v>25</v>
      </c>
      <c r="P33" s="3" t="s">
        <v>26</v>
      </c>
      <c r="Q33" s="6" t="s">
        <v>111</v>
      </c>
      <c r="R33" s="7">
        <v>9305949533</v>
      </c>
      <c r="S33" s="9" t="s">
        <v>203</v>
      </c>
      <c r="T33" s="44" t="s">
        <v>410</v>
      </c>
      <c r="U33" s="56" t="s">
        <v>414</v>
      </c>
      <c r="V33" s="80" t="s">
        <v>414</v>
      </c>
      <c r="W33" s="2">
        <v>21</v>
      </c>
      <c r="X33" s="2">
        <f t="shared" si="0"/>
        <v>91.304347826086953</v>
      </c>
      <c r="Y33" s="2">
        <v>13</v>
      </c>
      <c r="Z33" s="2">
        <f t="shared" si="1"/>
        <v>34</v>
      </c>
      <c r="AA33" s="2">
        <f t="shared" si="2"/>
        <v>87.179487179487182</v>
      </c>
      <c r="AB33" s="2">
        <v>23</v>
      </c>
      <c r="AC33" s="2">
        <f t="shared" si="3"/>
        <v>57</v>
      </c>
      <c r="AD33" s="2">
        <f t="shared" si="4"/>
        <v>87.692307692307693</v>
      </c>
      <c r="AE33" s="2">
        <v>18</v>
      </c>
      <c r="AF33" s="2">
        <f t="shared" si="5"/>
        <v>75</v>
      </c>
      <c r="AG33" s="2">
        <f t="shared" si="6"/>
        <v>86.206896551724128</v>
      </c>
      <c r="AH33" s="2">
        <v>15</v>
      </c>
      <c r="AI33" s="2">
        <v>0</v>
      </c>
      <c r="AJ33" s="2">
        <v>6</v>
      </c>
      <c r="AK33" s="2">
        <v>2</v>
      </c>
      <c r="AL33" s="2">
        <v>1</v>
      </c>
      <c r="AM33" s="2">
        <f t="shared" si="7"/>
        <v>24</v>
      </c>
      <c r="AN33" s="2" t="s">
        <v>688</v>
      </c>
      <c r="AO33" s="2" t="s">
        <v>1385</v>
      </c>
      <c r="AP33" s="2" t="s">
        <v>1386</v>
      </c>
      <c r="AQ33" s="2" t="s">
        <v>1387</v>
      </c>
      <c r="AR33" s="2" t="s">
        <v>1388</v>
      </c>
      <c r="AS33" s="2" t="s">
        <v>1389</v>
      </c>
      <c r="AT33" s="2" t="s">
        <v>1390</v>
      </c>
      <c r="AU33" s="2" t="s">
        <v>1391</v>
      </c>
      <c r="AV33" s="2" t="s">
        <v>1392</v>
      </c>
      <c r="AW33" s="2" t="s">
        <v>1393</v>
      </c>
      <c r="AX33" s="2" t="s">
        <v>1394</v>
      </c>
      <c r="AY33" s="2" t="s">
        <v>1395</v>
      </c>
      <c r="AZ33" s="2" t="s">
        <v>1396</v>
      </c>
      <c r="BA33" s="2" t="s">
        <v>1397</v>
      </c>
      <c r="BB33" s="2" t="s">
        <v>1398</v>
      </c>
      <c r="BC33" s="2" t="s">
        <v>1399</v>
      </c>
      <c r="BD33" s="2" t="s">
        <v>1400</v>
      </c>
      <c r="BE33" s="2" t="s">
        <v>1401</v>
      </c>
      <c r="BF33" s="2" t="s">
        <v>1402</v>
      </c>
      <c r="BG33" s="2" t="s">
        <v>1403</v>
      </c>
      <c r="BH33" s="2" t="s">
        <v>1404</v>
      </c>
      <c r="BI33" s="2" t="s">
        <v>1405</v>
      </c>
      <c r="BJ33" s="2" t="s">
        <v>1406</v>
      </c>
      <c r="BK33" s="2" t="s">
        <v>1407</v>
      </c>
      <c r="BL33" s="2" t="s">
        <v>1408</v>
      </c>
      <c r="BM33" s="2" t="s">
        <v>1409</v>
      </c>
      <c r="BN33" s="2" t="s">
        <v>1410</v>
      </c>
      <c r="BO33" s="2" t="s">
        <v>1411</v>
      </c>
      <c r="BP33" s="2" t="s">
        <v>1412</v>
      </c>
      <c r="BQ33" s="2" t="s">
        <v>1413</v>
      </c>
    </row>
    <row r="34" spans="1:69" x14ac:dyDescent="0.35">
      <c r="A34" s="2">
        <v>33</v>
      </c>
      <c r="B34" s="2" t="s">
        <v>2062</v>
      </c>
      <c r="C34" s="3">
        <v>37160</v>
      </c>
      <c r="D34" s="3">
        <v>1252255708</v>
      </c>
      <c r="E34" s="31">
        <v>21325838055</v>
      </c>
      <c r="F34" s="22">
        <v>699215999117</v>
      </c>
      <c r="G34" s="23" t="s">
        <v>204</v>
      </c>
      <c r="H34" s="23" t="s">
        <v>18</v>
      </c>
      <c r="I34" s="23" t="s">
        <v>32</v>
      </c>
      <c r="J34" s="25" t="s">
        <v>205</v>
      </c>
      <c r="K34" s="25" t="s">
        <v>206</v>
      </c>
      <c r="L34" s="25" t="s">
        <v>207</v>
      </c>
      <c r="M34" s="26" t="s">
        <v>23</v>
      </c>
      <c r="N34" s="25" t="s">
        <v>208</v>
      </c>
      <c r="O34" s="25" t="s">
        <v>47</v>
      </c>
      <c r="P34" s="27" t="s">
        <v>26</v>
      </c>
      <c r="Q34" s="25" t="s">
        <v>209</v>
      </c>
      <c r="R34" s="26">
        <v>7398773797</v>
      </c>
      <c r="S34" s="28" t="s">
        <v>210</v>
      </c>
      <c r="T34" s="53" t="s">
        <v>410</v>
      </c>
      <c r="U34" s="58" t="s">
        <v>414</v>
      </c>
      <c r="V34" s="83" t="s">
        <v>414</v>
      </c>
      <c r="W34" s="2">
        <v>23</v>
      </c>
      <c r="X34" s="2">
        <f t="shared" si="0"/>
        <v>100</v>
      </c>
      <c r="Y34" s="2">
        <v>16</v>
      </c>
      <c r="Z34" s="2">
        <f t="shared" si="1"/>
        <v>39</v>
      </c>
      <c r="AA34" s="2">
        <f t="shared" si="2"/>
        <v>100</v>
      </c>
      <c r="AB34" s="2">
        <v>26</v>
      </c>
      <c r="AC34" s="2">
        <f t="shared" si="3"/>
        <v>65</v>
      </c>
      <c r="AD34" s="2">
        <f t="shared" si="4"/>
        <v>100</v>
      </c>
      <c r="AE34" s="2">
        <v>22</v>
      </c>
      <c r="AF34" s="2">
        <f t="shared" si="5"/>
        <v>87</v>
      </c>
      <c r="AG34" s="2">
        <f t="shared" si="6"/>
        <v>100</v>
      </c>
      <c r="AH34" s="2">
        <v>15</v>
      </c>
      <c r="AI34" s="2">
        <v>8</v>
      </c>
      <c r="AJ34" s="2">
        <v>14</v>
      </c>
      <c r="AK34" s="2">
        <v>16</v>
      </c>
      <c r="AL34" s="2">
        <v>6</v>
      </c>
      <c r="AM34" s="2">
        <f t="shared" si="7"/>
        <v>59</v>
      </c>
      <c r="AN34" s="2" t="s">
        <v>1414</v>
      </c>
      <c r="AO34" s="2" t="s">
        <v>1415</v>
      </c>
      <c r="AP34" s="2" t="s">
        <v>1416</v>
      </c>
      <c r="AQ34" s="2" t="s">
        <v>1417</v>
      </c>
      <c r="AR34" s="2" t="s">
        <v>1418</v>
      </c>
      <c r="AS34" s="2" t="s">
        <v>1419</v>
      </c>
      <c r="AT34" s="2" t="s">
        <v>1420</v>
      </c>
      <c r="AU34" s="2" t="s">
        <v>1421</v>
      </c>
      <c r="AV34" s="2" t="s">
        <v>1422</v>
      </c>
      <c r="AW34" s="2" t="s">
        <v>1423</v>
      </c>
      <c r="AX34" s="2" t="s">
        <v>1424</v>
      </c>
      <c r="AY34" s="2" t="s">
        <v>1425</v>
      </c>
      <c r="AZ34" s="2" t="s">
        <v>1426</v>
      </c>
      <c r="BA34" s="2" t="s">
        <v>1427</v>
      </c>
      <c r="BB34" s="2" t="s">
        <v>1428</v>
      </c>
      <c r="BC34" s="2" t="s">
        <v>1429</v>
      </c>
      <c r="BD34" s="2" t="s">
        <v>1430</v>
      </c>
      <c r="BE34" s="2" t="s">
        <v>1431</v>
      </c>
      <c r="BF34" s="2" t="s">
        <v>1432</v>
      </c>
      <c r="BG34" s="2" t="s">
        <v>1433</v>
      </c>
      <c r="BH34" s="2" t="s">
        <v>1434</v>
      </c>
      <c r="BI34" s="2" t="s">
        <v>1435</v>
      </c>
      <c r="BJ34" s="2" t="s">
        <v>1436</v>
      </c>
      <c r="BK34" s="2" t="s">
        <v>1437</v>
      </c>
      <c r="BL34" s="2" t="s">
        <v>1438</v>
      </c>
      <c r="BM34" s="2" t="s">
        <v>1439</v>
      </c>
      <c r="BN34" s="2" t="s">
        <v>1440</v>
      </c>
      <c r="BO34" s="2" t="s">
        <v>1441</v>
      </c>
      <c r="BP34" s="2" t="s">
        <v>1442</v>
      </c>
      <c r="BQ34" s="2" t="s">
        <v>1443</v>
      </c>
    </row>
    <row r="35" spans="1:69" x14ac:dyDescent="0.35">
      <c r="A35" s="2">
        <v>34</v>
      </c>
      <c r="B35" s="2" t="s">
        <v>2062</v>
      </c>
      <c r="C35" s="3">
        <v>38272</v>
      </c>
      <c r="D35" s="3">
        <v>1252255715</v>
      </c>
      <c r="E35" s="31">
        <v>21370961997</v>
      </c>
      <c r="F35" s="22">
        <v>732100554113</v>
      </c>
      <c r="G35" s="23" t="s">
        <v>128</v>
      </c>
      <c r="H35" s="23" t="s">
        <v>31</v>
      </c>
      <c r="I35" s="23" t="s">
        <v>120</v>
      </c>
      <c r="J35" s="25" t="s">
        <v>211</v>
      </c>
      <c r="K35" s="25" t="s">
        <v>212</v>
      </c>
      <c r="L35" s="25" t="s">
        <v>213</v>
      </c>
      <c r="M35" s="26" t="s">
        <v>23</v>
      </c>
      <c r="N35" s="25" t="s">
        <v>214</v>
      </c>
      <c r="O35" s="25" t="s">
        <v>25</v>
      </c>
      <c r="P35" s="27" t="s">
        <v>26</v>
      </c>
      <c r="Q35" s="25" t="s">
        <v>215</v>
      </c>
      <c r="R35" s="26">
        <v>9721686499</v>
      </c>
      <c r="S35" s="28" t="s">
        <v>216</v>
      </c>
      <c r="T35" s="53" t="s">
        <v>410</v>
      </c>
      <c r="U35" s="58" t="s">
        <v>414</v>
      </c>
      <c r="V35" s="83" t="s">
        <v>414</v>
      </c>
      <c r="W35" s="2">
        <v>19</v>
      </c>
      <c r="X35" s="2">
        <f t="shared" si="0"/>
        <v>82.608695652173907</v>
      </c>
      <c r="Y35" s="2">
        <v>14</v>
      </c>
      <c r="Z35" s="2">
        <f t="shared" si="1"/>
        <v>33</v>
      </c>
      <c r="AA35" s="2">
        <f t="shared" si="2"/>
        <v>84.615384615384613</v>
      </c>
      <c r="AB35" s="2">
        <v>26</v>
      </c>
      <c r="AC35" s="2">
        <f t="shared" si="3"/>
        <v>59</v>
      </c>
      <c r="AD35" s="2">
        <f t="shared" si="4"/>
        <v>90.769230769230774</v>
      </c>
      <c r="AE35" s="2">
        <v>22</v>
      </c>
      <c r="AF35" s="2">
        <f t="shared" si="5"/>
        <v>81</v>
      </c>
      <c r="AG35" s="2">
        <f t="shared" si="6"/>
        <v>93.103448275862064</v>
      </c>
      <c r="AH35" s="2">
        <v>16</v>
      </c>
      <c r="AI35" s="2">
        <v>1</v>
      </c>
      <c r="AJ35" s="2">
        <v>10</v>
      </c>
      <c r="AK35" s="2">
        <v>3</v>
      </c>
      <c r="AL35" s="2">
        <v>3</v>
      </c>
      <c r="AM35" s="2">
        <f t="shared" si="7"/>
        <v>33</v>
      </c>
      <c r="AN35" s="2" t="s">
        <v>808</v>
      </c>
      <c r="AO35" s="2" t="s">
        <v>1444</v>
      </c>
      <c r="AP35" s="2" t="s">
        <v>1445</v>
      </c>
      <c r="AQ35" s="2" t="s">
        <v>1446</v>
      </c>
      <c r="AR35" s="2" t="s">
        <v>1447</v>
      </c>
      <c r="AS35" s="2" t="s">
        <v>1448</v>
      </c>
      <c r="AT35" s="2" t="s">
        <v>1449</v>
      </c>
      <c r="AU35" s="2" t="s">
        <v>1450</v>
      </c>
      <c r="AV35" s="2" t="s">
        <v>1451</v>
      </c>
      <c r="AW35" s="2" t="s">
        <v>1452</v>
      </c>
      <c r="AX35" s="2" t="s">
        <v>1453</v>
      </c>
      <c r="AY35" s="2" t="s">
        <v>1454</v>
      </c>
      <c r="AZ35" s="2" t="s">
        <v>1455</v>
      </c>
      <c r="BA35" s="2" t="s">
        <v>1456</v>
      </c>
      <c r="BB35" s="2" t="s">
        <v>1457</v>
      </c>
      <c r="BC35" s="2" t="s">
        <v>1458</v>
      </c>
      <c r="BD35" s="2" t="s">
        <v>1459</v>
      </c>
      <c r="BE35" s="2" t="s">
        <v>1460</v>
      </c>
      <c r="BF35" s="2" t="s">
        <v>1461</v>
      </c>
      <c r="BG35" s="2" t="s">
        <v>1462</v>
      </c>
      <c r="BH35" s="2" t="s">
        <v>1463</v>
      </c>
      <c r="BI35" s="2" t="s">
        <v>1464</v>
      </c>
      <c r="BJ35" s="2" t="s">
        <v>1465</v>
      </c>
      <c r="BK35" s="2" t="s">
        <v>1466</v>
      </c>
      <c r="BL35" s="2" t="s">
        <v>1467</v>
      </c>
      <c r="BM35" s="2" t="s">
        <v>1468</v>
      </c>
      <c r="BN35" s="2" t="s">
        <v>1469</v>
      </c>
      <c r="BO35" s="2" t="s">
        <v>1470</v>
      </c>
      <c r="BP35" s="2" t="s">
        <v>1471</v>
      </c>
      <c r="BQ35" s="2" t="s">
        <v>1472</v>
      </c>
    </row>
    <row r="36" spans="1:69" x14ac:dyDescent="0.35">
      <c r="A36" s="2">
        <v>35</v>
      </c>
      <c r="B36" s="2" t="s">
        <v>2062</v>
      </c>
      <c r="C36" s="3">
        <v>40107</v>
      </c>
      <c r="D36" s="3">
        <v>1252263857</v>
      </c>
      <c r="E36" s="2">
        <v>22650034990</v>
      </c>
      <c r="F36" s="4" t="s">
        <v>224</v>
      </c>
      <c r="G36" s="5" t="s">
        <v>42</v>
      </c>
      <c r="H36" s="5" t="s">
        <v>42</v>
      </c>
      <c r="I36" s="5" t="s">
        <v>32</v>
      </c>
      <c r="J36" s="6" t="s">
        <v>403</v>
      </c>
      <c r="K36" s="6" t="s">
        <v>225</v>
      </c>
      <c r="L36" s="6" t="s">
        <v>226</v>
      </c>
      <c r="M36" s="7" t="s">
        <v>23</v>
      </c>
      <c r="N36" s="8" t="s">
        <v>227</v>
      </c>
      <c r="O36" s="8" t="s">
        <v>25</v>
      </c>
      <c r="P36" s="3" t="s">
        <v>26</v>
      </c>
      <c r="Q36" s="6" t="s">
        <v>228</v>
      </c>
      <c r="R36" s="7">
        <v>6386345720</v>
      </c>
      <c r="S36" s="9" t="s">
        <v>229</v>
      </c>
      <c r="T36" s="46" t="s">
        <v>410</v>
      </c>
      <c r="U36" s="57"/>
      <c r="V36" s="78"/>
      <c r="W36" s="2">
        <v>18</v>
      </c>
      <c r="X36" s="2">
        <f t="shared" si="0"/>
        <v>78.260869565217391</v>
      </c>
      <c r="Y36" s="2">
        <v>13</v>
      </c>
      <c r="Z36" s="2">
        <f t="shared" si="1"/>
        <v>31</v>
      </c>
      <c r="AA36" s="2">
        <f t="shared" si="2"/>
        <v>79.487179487179489</v>
      </c>
      <c r="AB36" s="2">
        <v>20</v>
      </c>
      <c r="AC36" s="2">
        <f t="shared" si="3"/>
        <v>51</v>
      </c>
      <c r="AD36" s="2">
        <f t="shared" si="4"/>
        <v>78.461538461538467</v>
      </c>
      <c r="AE36" s="2">
        <v>15</v>
      </c>
      <c r="AF36" s="2">
        <f t="shared" si="5"/>
        <v>66</v>
      </c>
      <c r="AG36" s="2">
        <f t="shared" si="6"/>
        <v>75.862068965517238</v>
      </c>
      <c r="AH36" s="2">
        <v>9</v>
      </c>
      <c r="AI36" s="2">
        <v>2</v>
      </c>
      <c r="AJ36" s="2">
        <v>10</v>
      </c>
      <c r="AK36" s="2">
        <v>1</v>
      </c>
      <c r="AL36" s="2">
        <v>2</v>
      </c>
      <c r="AM36" s="2">
        <f t="shared" si="7"/>
        <v>24</v>
      </c>
      <c r="AN36" s="2" t="s">
        <v>1473</v>
      </c>
      <c r="AO36" s="2" t="s">
        <v>1474</v>
      </c>
      <c r="AP36" s="2" t="s">
        <v>1475</v>
      </c>
      <c r="AQ36" s="2" t="s">
        <v>1476</v>
      </c>
      <c r="AR36" s="2" t="s">
        <v>782</v>
      </c>
      <c r="AS36" s="2" t="s">
        <v>783</v>
      </c>
      <c r="AT36" s="2" t="s">
        <v>784</v>
      </c>
      <c r="AU36" s="2" t="s">
        <v>785</v>
      </c>
      <c r="AV36" s="2" t="s">
        <v>786</v>
      </c>
      <c r="AW36" s="2" t="s">
        <v>787</v>
      </c>
      <c r="AX36" s="2" t="s">
        <v>1477</v>
      </c>
      <c r="AY36" s="2" t="s">
        <v>789</v>
      </c>
      <c r="AZ36" s="2" t="s">
        <v>1478</v>
      </c>
      <c r="BA36" s="2" t="s">
        <v>791</v>
      </c>
      <c r="BB36" s="2" t="s">
        <v>792</v>
      </c>
      <c r="BC36" s="2" t="s">
        <v>793</v>
      </c>
      <c r="BD36" s="2" t="s">
        <v>1479</v>
      </c>
      <c r="BE36" s="2" t="s">
        <v>795</v>
      </c>
      <c r="BF36" s="2" t="s">
        <v>1480</v>
      </c>
      <c r="BG36" s="2" t="s">
        <v>797</v>
      </c>
      <c r="BH36" s="2" t="s">
        <v>1481</v>
      </c>
      <c r="BI36" s="2" t="s">
        <v>799</v>
      </c>
      <c r="BJ36" s="2" t="s">
        <v>1482</v>
      </c>
      <c r="BK36" s="2" t="s">
        <v>801</v>
      </c>
      <c r="BL36" s="2" t="s">
        <v>802</v>
      </c>
      <c r="BM36" s="2" t="s">
        <v>803</v>
      </c>
      <c r="BN36" s="2" t="s">
        <v>1483</v>
      </c>
      <c r="BO36" s="2" t="s">
        <v>805</v>
      </c>
      <c r="BP36" s="2" t="s">
        <v>1484</v>
      </c>
      <c r="BQ36" s="2" t="s">
        <v>807</v>
      </c>
    </row>
    <row r="37" spans="1:69" x14ac:dyDescent="0.35">
      <c r="A37" s="2">
        <v>36</v>
      </c>
      <c r="B37" s="2" t="s">
        <v>2062</v>
      </c>
      <c r="C37" s="3">
        <v>36488</v>
      </c>
      <c r="D37" s="3">
        <v>1242447193</v>
      </c>
      <c r="E37" s="2">
        <v>21600449694</v>
      </c>
      <c r="F37" s="4" t="s">
        <v>217</v>
      </c>
      <c r="G37" s="5" t="s">
        <v>110</v>
      </c>
      <c r="H37" s="5" t="s">
        <v>57</v>
      </c>
      <c r="I37" s="5" t="s">
        <v>32</v>
      </c>
      <c r="J37" s="6" t="s">
        <v>218</v>
      </c>
      <c r="K37" s="6" t="s">
        <v>219</v>
      </c>
      <c r="L37" s="6" t="s">
        <v>220</v>
      </c>
      <c r="M37" s="7" t="s">
        <v>23</v>
      </c>
      <c r="N37" s="8" t="s">
        <v>221</v>
      </c>
      <c r="O37" s="8" t="s">
        <v>25</v>
      </c>
      <c r="P37" s="3" t="s">
        <v>26</v>
      </c>
      <c r="Q37" s="6" t="s">
        <v>222</v>
      </c>
      <c r="R37" s="7">
        <v>7522057072</v>
      </c>
      <c r="S37" s="9" t="s">
        <v>223</v>
      </c>
      <c r="T37" s="46" t="s">
        <v>410</v>
      </c>
      <c r="U37" s="47"/>
      <c r="V37" s="78"/>
      <c r="W37" s="2">
        <v>21</v>
      </c>
      <c r="X37" s="2">
        <f t="shared" si="0"/>
        <v>91.304347826086953</v>
      </c>
      <c r="Y37" s="2">
        <v>15</v>
      </c>
      <c r="Z37" s="2">
        <f t="shared" si="1"/>
        <v>36</v>
      </c>
      <c r="AA37" s="2">
        <f t="shared" si="2"/>
        <v>92.307692307692307</v>
      </c>
      <c r="AB37" s="2">
        <v>26</v>
      </c>
      <c r="AC37" s="2">
        <f t="shared" si="3"/>
        <v>62</v>
      </c>
      <c r="AD37" s="2">
        <f t="shared" si="4"/>
        <v>95.384615384615387</v>
      </c>
      <c r="AE37" s="2">
        <v>22</v>
      </c>
      <c r="AF37" s="2">
        <f t="shared" si="5"/>
        <v>84</v>
      </c>
      <c r="AG37" s="2">
        <f t="shared" si="6"/>
        <v>96.551724137931032</v>
      </c>
      <c r="AH37" s="2">
        <v>8</v>
      </c>
      <c r="AI37" s="2">
        <v>4</v>
      </c>
      <c r="AJ37" s="2">
        <v>16</v>
      </c>
      <c r="AK37" s="2">
        <v>2</v>
      </c>
      <c r="AL37" s="2">
        <v>2</v>
      </c>
      <c r="AM37" s="2">
        <f t="shared" si="7"/>
        <v>32</v>
      </c>
      <c r="AN37" s="2" t="s">
        <v>1485</v>
      </c>
      <c r="AO37" s="2" t="s">
        <v>1486</v>
      </c>
      <c r="AP37" s="2" t="s">
        <v>1487</v>
      </c>
      <c r="AQ37" s="2" t="s">
        <v>1488</v>
      </c>
      <c r="AR37" s="2" t="s">
        <v>1489</v>
      </c>
      <c r="AS37" s="2" t="s">
        <v>1490</v>
      </c>
      <c r="AT37" s="2" t="s">
        <v>1491</v>
      </c>
      <c r="AU37" s="2" t="s">
        <v>1492</v>
      </c>
      <c r="AV37" s="2" t="s">
        <v>1493</v>
      </c>
      <c r="AW37" s="2" t="s">
        <v>1494</v>
      </c>
      <c r="AX37" s="2" t="s">
        <v>1495</v>
      </c>
      <c r="AY37" s="2" t="s">
        <v>1496</v>
      </c>
      <c r="AZ37" s="2" t="s">
        <v>1497</v>
      </c>
      <c r="BA37" s="2" t="s">
        <v>1498</v>
      </c>
      <c r="BB37" s="2" t="s">
        <v>1499</v>
      </c>
      <c r="BC37" s="2" t="s">
        <v>1500</v>
      </c>
      <c r="BD37" s="2" t="s">
        <v>1501</v>
      </c>
      <c r="BE37" s="2" t="s">
        <v>1502</v>
      </c>
      <c r="BF37" s="2" t="s">
        <v>1503</v>
      </c>
      <c r="BG37" s="2" t="s">
        <v>1504</v>
      </c>
      <c r="BH37" s="2" t="s">
        <v>1505</v>
      </c>
      <c r="BI37" s="2" t="s">
        <v>1506</v>
      </c>
      <c r="BJ37" s="2" t="s">
        <v>1507</v>
      </c>
      <c r="BK37" s="2" t="s">
        <v>1508</v>
      </c>
      <c r="BL37" s="2" t="s">
        <v>1509</v>
      </c>
      <c r="BM37" s="2" t="s">
        <v>1510</v>
      </c>
      <c r="BN37" s="2" t="s">
        <v>1511</v>
      </c>
      <c r="BO37" s="2" t="s">
        <v>1512</v>
      </c>
      <c r="BP37" s="2" t="s">
        <v>1513</v>
      </c>
      <c r="BQ37" s="2" t="s">
        <v>1514</v>
      </c>
    </row>
    <row r="38" spans="1:69" x14ac:dyDescent="0.35">
      <c r="A38" s="2">
        <v>37</v>
      </c>
      <c r="B38" s="2" t="s">
        <v>2062</v>
      </c>
      <c r="C38" s="3">
        <v>37156</v>
      </c>
      <c r="D38" s="3">
        <v>1252255728</v>
      </c>
      <c r="E38" s="2">
        <v>21610671260</v>
      </c>
      <c r="F38" s="4">
        <v>912374096360</v>
      </c>
      <c r="G38" s="17" t="s">
        <v>65</v>
      </c>
      <c r="H38" s="17" t="s">
        <v>42</v>
      </c>
      <c r="I38" s="17" t="s">
        <v>32</v>
      </c>
      <c r="J38" s="6" t="s">
        <v>404</v>
      </c>
      <c r="K38" s="6" t="s">
        <v>306</v>
      </c>
      <c r="L38" s="6" t="s">
        <v>307</v>
      </c>
      <c r="M38" s="7" t="s">
        <v>265</v>
      </c>
      <c r="N38" s="8" t="s">
        <v>308</v>
      </c>
      <c r="O38" s="8" t="s">
        <v>25</v>
      </c>
      <c r="P38" s="3" t="s">
        <v>26</v>
      </c>
      <c r="Q38" s="6" t="s">
        <v>309</v>
      </c>
      <c r="R38" s="7">
        <v>8853767194</v>
      </c>
      <c r="S38" s="9" t="s">
        <v>310</v>
      </c>
      <c r="T38" s="44" t="s">
        <v>410</v>
      </c>
      <c r="U38" s="59"/>
      <c r="V38" s="77"/>
      <c r="W38" s="2">
        <v>15</v>
      </c>
      <c r="X38" s="2">
        <f t="shared" si="0"/>
        <v>65.217391304347828</v>
      </c>
      <c r="Y38" s="2">
        <v>13</v>
      </c>
      <c r="Z38" s="2">
        <f t="shared" si="1"/>
        <v>28</v>
      </c>
      <c r="AA38" s="2">
        <f t="shared" si="2"/>
        <v>71.794871794871796</v>
      </c>
      <c r="AB38" s="2">
        <v>23</v>
      </c>
      <c r="AC38" s="2">
        <f t="shared" si="3"/>
        <v>51</v>
      </c>
      <c r="AD38" s="2">
        <f t="shared" si="4"/>
        <v>78.461538461538467</v>
      </c>
      <c r="AE38" s="2">
        <v>20</v>
      </c>
      <c r="AF38" s="2">
        <f t="shared" si="5"/>
        <v>71</v>
      </c>
      <c r="AG38" s="2">
        <f t="shared" si="6"/>
        <v>81.609195402298852</v>
      </c>
      <c r="AH38" s="2">
        <v>15</v>
      </c>
      <c r="AI38" s="2">
        <v>14</v>
      </c>
      <c r="AJ38" s="2">
        <v>18</v>
      </c>
      <c r="AK38" s="2">
        <v>17</v>
      </c>
      <c r="AL38" s="2">
        <v>12</v>
      </c>
      <c r="AM38" s="2">
        <f t="shared" si="7"/>
        <v>76</v>
      </c>
      <c r="AN38" s="2" t="s">
        <v>1515</v>
      </c>
      <c r="AO38" s="2" t="s">
        <v>1516</v>
      </c>
      <c r="AP38" s="2" t="s">
        <v>1517</v>
      </c>
      <c r="AQ38" s="2" t="s">
        <v>1518</v>
      </c>
      <c r="AR38" s="2" t="s">
        <v>1519</v>
      </c>
      <c r="AS38" s="2" t="s">
        <v>1520</v>
      </c>
      <c r="AT38" s="2" t="s">
        <v>1521</v>
      </c>
      <c r="AU38" s="2" t="s">
        <v>1522</v>
      </c>
      <c r="AV38" s="2" t="s">
        <v>1523</v>
      </c>
      <c r="AW38" s="2" t="s">
        <v>1524</v>
      </c>
      <c r="AX38" s="2" t="s">
        <v>1525</v>
      </c>
      <c r="AY38" s="2" t="s">
        <v>1526</v>
      </c>
      <c r="AZ38" s="2" t="s">
        <v>1527</v>
      </c>
      <c r="BA38" s="2" t="s">
        <v>1528</v>
      </c>
      <c r="BB38" s="2" t="s">
        <v>1529</v>
      </c>
      <c r="BC38" s="2" t="s">
        <v>1530</v>
      </c>
      <c r="BD38" s="2" t="s">
        <v>1531</v>
      </c>
      <c r="BE38" s="2" t="s">
        <v>1532</v>
      </c>
      <c r="BF38" s="2" t="s">
        <v>1533</v>
      </c>
      <c r="BG38" s="2" t="s">
        <v>1534</v>
      </c>
      <c r="BH38" s="2" t="s">
        <v>1535</v>
      </c>
      <c r="BI38" s="2" t="s">
        <v>1536</v>
      </c>
      <c r="BJ38" s="2" t="s">
        <v>1537</v>
      </c>
      <c r="BK38" s="2" t="s">
        <v>1538</v>
      </c>
      <c r="BL38" s="2" t="s">
        <v>1339</v>
      </c>
      <c r="BM38" s="2" t="s">
        <v>1539</v>
      </c>
      <c r="BN38" s="2" t="s">
        <v>1540</v>
      </c>
      <c r="BO38" s="2" t="s">
        <v>1541</v>
      </c>
      <c r="BP38" s="2" t="s">
        <v>1542</v>
      </c>
      <c r="BQ38" s="2" t="s">
        <v>1543</v>
      </c>
    </row>
    <row r="39" spans="1:69" x14ac:dyDescent="0.35">
      <c r="A39" s="2">
        <v>38</v>
      </c>
      <c r="B39" s="2" t="s">
        <v>2062</v>
      </c>
      <c r="C39" s="3">
        <v>38940</v>
      </c>
      <c r="D39" s="3">
        <v>1252255736</v>
      </c>
      <c r="E39" s="2">
        <v>21473874271</v>
      </c>
      <c r="F39" s="10">
        <v>982931653622</v>
      </c>
      <c r="G39" s="5" t="s">
        <v>134</v>
      </c>
      <c r="H39" s="5" t="s">
        <v>18</v>
      </c>
      <c r="I39" s="5" t="s">
        <v>32</v>
      </c>
      <c r="J39" s="8" t="s">
        <v>263</v>
      </c>
      <c r="K39" s="8" t="s">
        <v>264</v>
      </c>
      <c r="L39" s="8" t="s">
        <v>180</v>
      </c>
      <c r="M39" s="7" t="s">
        <v>265</v>
      </c>
      <c r="N39" s="8" t="s">
        <v>24</v>
      </c>
      <c r="O39" s="8" t="s">
        <v>25</v>
      </c>
      <c r="P39" s="3" t="s">
        <v>26</v>
      </c>
      <c r="Q39" s="8" t="s">
        <v>266</v>
      </c>
      <c r="R39" s="7">
        <v>9450320524</v>
      </c>
      <c r="S39" s="12" t="s">
        <v>267</v>
      </c>
      <c r="T39" s="44" t="s">
        <v>410</v>
      </c>
      <c r="U39" s="60" t="s">
        <v>414</v>
      </c>
      <c r="V39" s="79" t="s">
        <v>414</v>
      </c>
      <c r="W39" s="2">
        <v>23</v>
      </c>
      <c r="X39" s="2">
        <f t="shared" si="0"/>
        <v>100</v>
      </c>
      <c r="Y39" s="2">
        <v>11</v>
      </c>
      <c r="Z39" s="2">
        <f t="shared" si="1"/>
        <v>34</v>
      </c>
      <c r="AA39" s="2">
        <f t="shared" si="2"/>
        <v>87.179487179487182</v>
      </c>
      <c r="AB39" s="2">
        <v>23</v>
      </c>
      <c r="AC39" s="2">
        <f t="shared" si="3"/>
        <v>57</v>
      </c>
      <c r="AD39" s="2">
        <f t="shared" si="4"/>
        <v>87.692307692307693</v>
      </c>
      <c r="AE39" s="2">
        <v>15</v>
      </c>
      <c r="AF39" s="2">
        <f t="shared" si="5"/>
        <v>72</v>
      </c>
      <c r="AG39" s="2">
        <f t="shared" si="6"/>
        <v>82.758620689655174</v>
      </c>
      <c r="AH39" s="2">
        <v>11</v>
      </c>
      <c r="AI39" s="2">
        <v>0</v>
      </c>
      <c r="AJ39" s="2">
        <v>6</v>
      </c>
      <c r="AK39" s="2">
        <v>8</v>
      </c>
      <c r="AL39" s="2">
        <v>1</v>
      </c>
      <c r="AM39" s="2">
        <f t="shared" si="7"/>
        <v>26</v>
      </c>
      <c r="AN39" s="2" t="s">
        <v>1544</v>
      </c>
      <c r="AO39" s="2" t="s">
        <v>1545</v>
      </c>
      <c r="AP39" s="2" t="s">
        <v>1546</v>
      </c>
      <c r="AQ39" s="2" t="s">
        <v>1547</v>
      </c>
      <c r="AR39" s="2" t="s">
        <v>1548</v>
      </c>
      <c r="AS39" s="2" t="s">
        <v>1549</v>
      </c>
      <c r="AT39" s="2" t="s">
        <v>1550</v>
      </c>
      <c r="AU39" s="2" t="s">
        <v>1551</v>
      </c>
      <c r="AV39" s="2" t="s">
        <v>1552</v>
      </c>
      <c r="AW39" s="2" t="s">
        <v>1553</v>
      </c>
      <c r="AX39" s="2" t="s">
        <v>1554</v>
      </c>
      <c r="AY39" s="2" t="s">
        <v>1555</v>
      </c>
      <c r="AZ39" s="2" t="s">
        <v>1556</v>
      </c>
      <c r="BA39" s="2" t="s">
        <v>1557</v>
      </c>
      <c r="BB39" s="2" t="s">
        <v>1558</v>
      </c>
      <c r="BC39" s="2" t="s">
        <v>1559</v>
      </c>
      <c r="BD39" s="2" t="s">
        <v>1560</v>
      </c>
      <c r="BE39" s="2" t="s">
        <v>1561</v>
      </c>
      <c r="BF39" s="2" t="s">
        <v>1562</v>
      </c>
      <c r="BG39" s="2" t="s">
        <v>1563</v>
      </c>
      <c r="BH39" s="2" t="s">
        <v>1564</v>
      </c>
      <c r="BI39" s="2" t="s">
        <v>1565</v>
      </c>
      <c r="BJ39" s="2" t="s">
        <v>1566</v>
      </c>
      <c r="BK39" s="2" t="s">
        <v>1567</v>
      </c>
      <c r="BL39" s="2" t="s">
        <v>1568</v>
      </c>
      <c r="BM39" s="2" t="s">
        <v>1340</v>
      </c>
      <c r="BN39" s="2" t="s">
        <v>1569</v>
      </c>
      <c r="BO39" s="2" t="s">
        <v>1570</v>
      </c>
      <c r="BP39" s="2" t="s">
        <v>1571</v>
      </c>
      <c r="BQ39" s="2" t="s">
        <v>1572</v>
      </c>
    </row>
    <row r="40" spans="1:69" x14ac:dyDescent="0.35">
      <c r="A40" s="2">
        <v>39</v>
      </c>
      <c r="B40" s="2" t="s">
        <v>2062</v>
      </c>
      <c r="C40" s="40" t="s">
        <v>391</v>
      </c>
      <c r="D40" s="3">
        <v>1252255738</v>
      </c>
      <c r="E40" s="2">
        <v>21049747689</v>
      </c>
      <c r="F40" s="4">
        <v>926775823431</v>
      </c>
      <c r="G40" s="8" t="s">
        <v>194</v>
      </c>
      <c r="H40" s="8" t="s">
        <v>41</v>
      </c>
      <c r="I40" s="8" t="s">
        <v>32</v>
      </c>
      <c r="J40" s="20" t="s">
        <v>392</v>
      </c>
      <c r="K40" s="8" t="s">
        <v>393</v>
      </c>
      <c r="L40" s="8" t="s">
        <v>394</v>
      </c>
      <c r="M40" s="7" t="s">
        <v>265</v>
      </c>
      <c r="N40" s="8" t="s">
        <v>24</v>
      </c>
      <c r="O40" s="8" t="s">
        <v>25</v>
      </c>
      <c r="P40" s="3" t="s">
        <v>26</v>
      </c>
      <c r="Q40" s="8" t="s">
        <v>111</v>
      </c>
      <c r="R40" s="7">
        <v>6394318895</v>
      </c>
      <c r="S40" s="35" t="s">
        <v>395</v>
      </c>
      <c r="T40" s="44" t="s">
        <v>411</v>
      </c>
      <c r="U40" s="72" t="s">
        <v>422</v>
      </c>
      <c r="V40" s="79" t="s">
        <v>423</v>
      </c>
      <c r="W40" s="2">
        <v>21</v>
      </c>
      <c r="X40" s="2">
        <f t="shared" si="0"/>
        <v>91.304347826086953</v>
      </c>
      <c r="Y40" s="2">
        <v>14</v>
      </c>
      <c r="Z40" s="2">
        <f t="shared" si="1"/>
        <v>35</v>
      </c>
      <c r="AA40" s="2">
        <f t="shared" si="2"/>
        <v>89.743589743589752</v>
      </c>
      <c r="AB40" s="2">
        <v>21</v>
      </c>
      <c r="AC40" s="2">
        <f t="shared" si="3"/>
        <v>56</v>
      </c>
      <c r="AD40" s="2">
        <f t="shared" si="4"/>
        <v>86.15384615384616</v>
      </c>
      <c r="AE40" s="2">
        <v>17</v>
      </c>
      <c r="AF40" s="2">
        <f t="shared" si="5"/>
        <v>73</v>
      </c>
      <c r="AG40" s="2">
        <f t="shared" si="6"/>
        <v>83.908045977011497</v>
      </c>
      <c r="AH40" s="2">
        <v>18</v>
      </c>
      <c r="AI40" s="2">
        <v>10</v>
      </c>
      <c r="AJ40" s="2">
        <v>19</v>
      </c>
      <c r="AK40" s="2">
        <v>11</v>
      </c>
      <c r="AL40" s="2">
        <v>9</v>
      </c>
      <c r="AM40" s="2">
        <f t="shared" si="7"/>
        <v>67</v>
      </c>
      <c r="AN40" s="2" t="s">
        <v>808</v>
      </c>
      <c r="AO40" s="2" t="s">
        <v>1136</v>
      </c>
      <c r="AP40" s="2" t="s">
        <v>1573</v>
      </c>
      <c r="AQ40" s="2" t="s">
        <v>1574</v>
      </c>
      <c r="AR40" s="2" t="s">
        <v>1575</v>
      </c>
      <c r="AS40" s="2" t="s">
        <v>1576</v>
      </c>
      <c r="AT40" s="2" t="s">
        <v>1577</v>
      </c>
      <c r="AU40" s="2" t="s">
        <v>1578</v>
      </c>
      <c r="AV40" s="2" t="s">
        <v>1579</v>
      </c>
      <c r="AW40" s="2" t="s">
        <v>1580</v>
      </c>
      <c r="AX40" s="2" t="s">
        <v>1581</v>
      </c>
      <c r="AY40" s="2" t="s">
        <v>1582</v>
      </c>
      <c r="AZ40" s="2" t="s">
        <v>1583</v>
      </c>
      <c r="BA40" s="2" t="s">
        <v>1584</v>
      </c>
      <c r="BB40" s="2" t="s">
        <v>1585</v>
      </c>
      <c r="BC40" s="2" t="s">
        <v>1586</v>
      </c>
      <c r="BD40" s="2" t="s">
        <v>1587</v>
      </c>
      <c r="BE40" s="2" t="s">
        <v>1588</v>
      </c>
      <c r="BF40" s="2" t="s">
        <v>1589</v>
      </c>
      <c r="BG40" s="2" t="s">
        <v>1590</v>
      </c>
      <c r="BH40" s="2" t="s">
        <v>1591</v>
      </c>
      <c r="BI40" s="2" t="s">
        <v>1592</v>
      </c>
      <c r="BJ40" s="2" t="s">
        <v>1593</v>
      </c>
      <c r="BK40" s="2" t="s">
        <v>1594</v>
      </c>
      <c r="BL40" s="2" t="s">
        <v>1595</v>
      </c>
      <c r="BM40" s="2" t="s">
        <v>1596</v>
      </c>
      <c r="BN40" s="2" t="s">
        <v>1597</v>
      </c>
      <c r="BO40" s="2" t="s">
        <v>1598</v>
      </c>
      <c r="BP40" s="2" t="s">
        <v>1599</v>
      </c>
      <c r="BQ40" s="2" t="s">
        <v>1600</v>
      </c>
    </row>
    <row r="41" spans="1:69" x14ac:dyDescent="0.35">
      <c r="A41" s="2">
        <v>40</v>
      </c>
      <c r="B41" s="2" t="s">
        <v>2062</v>
      </c>
      <c r="C41" s="3" t="s">
        <v>268</v>
      </c>
      <c r="D41" s="3">
        <v>1252255756</v>
      </c>
      <c r="E41" s="2">
        <v>21576605986</v>
      </c>
      <c r="F41" s="4">
        <v>709640194219</v>
      </c>
      <c r="G41" s="17" t="s">
        <v>204</v>
      </c>
      <c r="H41" s="17" t="s">
        <v>74</v>
      </c>
      <c r="I41" s="17" t="s">
        <v>32</v>
      </c>
      <c r="J41" s="11" t="s">
        <v>269</v>
      </c>
      <c r="K41" s="6" t="s">
        <v>270</v>
      </c>
      <c r="L41" s="6" t="s">
        <v>271</v>
      </c>
      <c r="M41" s="7" t="s">
        <v>265</v>
      </c>
      <c r="N41" s="8" t="s">
        <v>157</v>
      </c>
      <c r="O41" s="8" t="s">
        <v>47</v>
      </c>
      <c r="P41" s="3" t="s">
        <v>26</v>
      </c>
      <c r="Q41" s="6" t="s">
        <v>272</v>
      </c>
      <c r="R41" s="7">
        <v>8423806530</v>
      </c>
      <c r="S41" s="9" t="s">
        <v>273</v>
      </c>
      <c r="T41" s="44" t="s">
        <v>411</v>
      </c>
      <c r="U41" s="61" t="s">
        <v>424</v>
      </c>
      <c r="V41" s="79" t="s">
        <v>423</v>
      </c>
      <c r="W41" s="2">
        <v>19</v>
      </c>
      <c r="X41" s="2">
        <f t="shared" si="0"/>
        <v>82.608695652173907</v>
      </c>
      <c r="Y41" s="2">
        <v>15</v>
      </c>
      <c r="Z41" s="2">
        <f t="shared" si="1"/>
        <v>34</v>
      </c>
      <c r="AA41" s="2">
        <f t="shared" si="2"/>
        <v>87.179487179487182</v>
      </c>
      <c r="AB41" s="2">
        <v>25</v>
      </c>
      <c r="AC41" s="2">
        <f t="shared" si="3"/>
        <v>59</v>
      </c>
      <c r="AD41" s="2">
        <f t="shared" si="4"/>
        <v>90.769230769230774</v>
      </c>
      <c r="AE41" s="2">
        <v>20</v>
      </c>
      <c r="AF41" s="2">
        <f t="shared" si="5"/>
        <v>79</v>
      </c>
      <c r="AG41" s="2">
        <f t="shared" si="6"/>
        <v>90.804597701149419</v>
      </c>
      <c r="AH41" s="2">
        <v>13</v>
      </c>
      <c r="AI41" s="2">
        <v>2</v>
      </c>
      <c r="AJ41" s="2">
        <v>17</v>
      </c>
      <c r="AK41" s="2">
        <v>8</v>
      </c>
      <c r="AL41" s="2">
        <v>7</v>
      </c>
      <c r="AM41" s="2">
        <f t="shared" si="7"/>
        <v>47</v>
      </c>
      <c r="AN41" s="2" t="s">
        <v>808</v>
      </c>
      <c r="AO41" s="2" t="s">
        <v>1136</v>
      </c>
      <c r="AP41" s="2" t="s">
        <v>1601</v>
      </c>
      <c r="AQ41" s="2" t="s">
        <v>1602</v>
      </c>
      <c r="AR41" s="2" t="s">
        <v>1603</v>
      </c>
      <c r="AS41" s="2" t="s">
        <v>1110</v>
      </c>
      <c r="AT41" s="2" t="s">
        <v>1604</v>
      </c>
      <c r="AU41" s="2" t="s">
        <v>1605</v>
      </c>
      <c r="AV41" s="2" t="s">
        <v>1606</v>
      </c>
      <c r="AW41" s="2" t="s">
        <v>1607</v>
      </c>
      <c r="AX41" s="2" t="s">
        <v>1608</v>
      </c>
      <c r="AY41" s="2" t="s">
        <v>1609</v>
      </c>
      <c r="AZ41" s="2" t="s">
        <v>1610</v>
      </c>
      <c r="BA41" s="2" t="s">
        <v>1611</v>
      </c>
      <c r="BB41" s="2" t="s">
        <v>1612</v>
      </c>
      <c r="BC41" s="2" t="s">
        <v>1613</v>
      </c>
      <c r="BD41" s="2" t="s">
        <v>1614</v>
      </c>
      <c r="BE41" s="2" t="s">
        <v>1615</v>
      </c>
      <c r="BF41" s="2" t="s">
        <v>1616</v>
      </c>
      <c r="BG41" s="2" t="s">
        <v>1617</v>
      </c>
      <c r="BH41" s="2" t="s">
        <v>1618</v>
      </c>
      <c r="BI41" s="2" t="s">
        <v>1619</v>
      </c>
      <c r="BJ41" s="2" t="s">
        <v>1620</v>
      </c>
      <c r="BK41" s="2" t="s">
        <v>1621</v>
      </c>
      <c r="BL41" s="2" t="s">
        <v>1622</v>
      </c>
      <c r="BM41" s="2" t="s">
        <v>1623</v>
      </c>
      <c r="BN41" s="2" t="s">
        <v>1624</v>
      </c>
      <c r="BO41" s="2" t="s">
        <v>1625</v>
      </c>
      <c r="BP41" s="2" t="s">
        <v>1626</v>
      </c>
      <c r="BQ41" s="2" t="s">
        <v>1627</v>
      </c>
    </row>
    <row r="42" spans="1:69" x14ac:dyDescent="0.35">
      <c r="A42" s="2">
        <v>41</v>
      </c>
      <c r="B42" s="2" t="s">
        <v>2062</v>
      </c>
      <c r="C42" s="3">
        <v>38990</v>
      </c>
      <c r="D42" s="3">
        <v>1252255760</v>
      </c>
      <c r="E42" s="2">
        <v>21145141686</v>
      </c>
      <c r="F42" s="4" t="s">
        <v>274</v>
      </c>
      <c r="G42" s="17" t="s">
        <v>18</v>
      </c>
      <c r="H42" s="17" t="s">
        <v>74</v>
      </c>
      <c r="I42" s="17" t="s">
        <v>58</v>
      </c>
      <c r="J42" s="11" t="s">
        <v>275</v>
      </c>
      <c r="K42" s="6" t="s">
        <v>276</v>
      </c>
      <c r="L42" s="34" t="s">
        <v>277</v>
      </c>
      <c r="M42" s="7" t="s">
        <v>265</v>
      </c>
      <c r="N42" s="8" t="s">
        <v>24</v>
      </c>
      <c r="O42" s="25" t="s">
        <v>25</v>
      </c>
      <c r="P42" s="3" t="s">
        <v>26</v>
      </c>
      <c r="Q42" s="6" t="s">
        <v>278</v>
      </c>
      <c r="R42" s="7">
        <v>9026354036</v>
      </c>
      <c r="S42" s="18" t="s">
        <v>279</v>
      </c>
      <c r="T42" s="44" t="s">
        <v>411</v>
      </c>
      <c r="U42" s="49" t="s">
        <v>425</v>
      </c>
      <c r="V42" s="79" t="s">
        <v>426</v>
      </c>
      <c r="W42" s="2">
        <v>23</v>
      </c>
      <c r="X42" s="2">
        <f t="shared" si="0"/>
        <v>100</v>
      </c>
      <c r="Y42" s="2">
        <v>16</v>
      </c>
      <c r="Z42" s="2">
        <f t="shared" si="1"/>
        <v>39</v>
      </c>
      <c r="AA42" s="2">
        <f t="shared" si="2"/>
        <v>100</v>
      </c>
      <c r="AB42" s="2">
        <v>24</v>
      </c>
      <c r="AC42" s="2">
        <f t="shared" si="3"/>
        <v>63</v>
      </c>
      <c r="AD42" s="2">
        <f t="shared" si="4"/>
        <v>96.92307692307692</v>
      </c>
      <c r="AE42" s="2">
        <v>22</v>
      </c>
      <c r="AF42" s="2">
        <f t="shared" si="5"/>
        <v>85</v>
      </c>
      <c r="AG42" s="2">
        <f t="shared" si="6"/>
        <v>97.701149425287355</v>
      </c>
      <c r="AH42" s="2">
        <v>15</v>
      </c>
      <c r="AI42" s="2">
        <v>9</v>
      </c>
      <c r="AJ42" s="2">
        <v>3</v>
      </c>
      <c r="AK42" s="2">
        <v>7</v>
      </c>
      <c r="AL42" s="2">
        <v>3</v>
      </c>
      <c r="AM42" s="2">
        <f t="shared" si="7"/>
        <v>37</v>
      </c>
      <c r="AN42" s="2" t="s">
        <v>1628</v>
      </c>
      <c r="AO42" s="2" t="s">
        <v>1629</v>
      </c>
      <c r="AP42" s="2" t="s">
        <v>1630</v>
      </c>
      <c r="AQ42" s="2" t="s">
        <v>1631</v>
      </c>
      <c r="AR42" s="2" t="s">
        <v>1632</v>
      </c>
      <c r="AS42" s="2" t="s">
        <v>1633</v>
      </c>
      <c r="AT42" s="2" t="s">
        <v>1634</v>
      </c>
      <c r="AU42" s="2" t="s">
        <v>1635</v>
      </c>
      <c r="AV42" s="2" t="s">
        <v>1636</v>
      </c>
      <c r="AW42" s="2" t="s">
        <v>1637</v>
      </c>
      <c r="AX42" s="2" t="s">
        <v>1638</v>
      </c>
      <c r="AY42" s="2" t="s">
        <v>1639</v>
      </c>
      <c r="AZ42" s="2" t="s">
        <v>1640</v>
      </c>
      <c r="BA42" s="2" t="s">
        <v>1641</v>
      </c>
      <c r="BB42" s="2" t="s">
        <v>1642</v>
      </c>
      <c r="BC42" s="2" t="s">
        <v>1643</v>
      </c>
      <c r="BD42" s="2" t="s">
        <v>1644</v>
      </c>
      <c r="BE42" s="2" t="s">
        <v>1645</v>
      </c>
      <c r="BF42" s="2" t="s">
        <v>1646</v>
      </c>
      <c r="BG42" s="2" t="s">
        <v>1647</v>
      </c>
      <c r="BH42" s="2" t="s">
        <v>1648</v>
      </c>
      <c r="BI42" s="2" t="s">
        <v>1649</v>
      </c>
      <c r="BJ42" s="2" t="s">
        <v>1650</v>
      </c>
      <c r="BK42" s="2" t="s">
        <v>1651</v>
      </c>
      <c r="BL42" s="2" t="s">
        <v>1652</v>
      </c>
      <c r="BM42" s="2" t="s">
        <v>1653</v>
      </c>
      <c r="BN42" s="2" t="s">
        <v>1654</v>
      </c>
      <c r="BO42" s="2" t="s">
        <v>1655</v>
      </c>
      <c r="BP42" s="2" t="s">
        <v>1656</v>
      </c>
      <c r="BQ42" s="2" t="s">
        <v>1657</v>
      </c>
    </row>
    <row r="43" spans="1:69" x14ac:dyDescent="0.35">
      <c r="A43" s="2">
        <v>42</v>
      </c>
      <c r="B43" s="2" t="s">
        <v>2062</v>
      </c>
      <c r="C43" s="3">
        <v>37099</v>
      </c>
      <c r="D43" s="3">
        <v>1252255777</v>
      </c>
      <c r="E43" s="2">
        <v>21383045325</v>
      </c>
      <c r="F43" s="10">
        <v>223103399828</v>
      </c>
      <c r="G43" s="17" t="s">
        <v>113</v>
      </c>
      <c r="H43" s="17" t="s">
        <v>41</v>
      </c>
      <c r="I43" s="17" t="s">
        <v>32</v>
      </c>
      <c r="J43" s="8" t="s">
        <v>280</v>
      </c>
      <c r="K43" s="8" t="s">
        <v>281</v>
      </c>
      <c r="L43" s="8" t="s">
        <v>282</v>
      </c>
      <c r="M43" s="7" t="s">
        <v>265</v>
      </c>
      <c r="N43" s="8" t="s">
        <v>157</v>
      </c>
      <c r="O43" s="8" t="s">
        <v>47</v>
      </c>
      <c r="P43" s="3" t="s">
        <v>26</v>
      </c>
      <c r="Q43" s="8" t="s">
        <v>283</v>
      </c>
      <c r="R43" s="7">
        <v>7317677115</v>
      </c>
      <c r="S43" s="12" t="s">
        <v>284</v>
      </c>
      <c r="T43" s="44" t="s">
        <v>410</v>
      </c>
      <c r="U43" s="52" t="s">
        <v>414</v>
      </c>
      <c r="V43" s="79" t="s">
        <v>414</v>
      </c>
      <c r="W43" s="2">
        <v>14</v>
      </c>
      <c r="X43" s="2">
        <f t="shared" si="0"/>
        <v>60.869565217391312</v>
      </c>
      <c r="Y43" s="2">
        <v>13</v>
      </c>
      <c r="Z43" s="2">
        <f t="shared" si="1"/>
        <v>27</v>
      </c>
      <c r="AA43" s="2">
        <f t="shared" si="2"/>
        <v>69.230769230769226</v>
      </c>
      <c r="AB43" s="2">
        <v>23</v>
      </c>
      <c r="AC43" s="2">
        <f t="shared" si="3"/>
        <v>50</v>
      </c>
      <c r="AD43" s="2">
        <f t="shared" si="4"/>
        <v>76.923076923076934</v>
      </c>
      <c r="AE43" s="2">
        <v>19</v>
      </c>
      <c r="AF43" s="2">
        <f t="shared" si="5"/>
        <v>69</v>
      </c>
      <c r="AG43" s="2">
        <f t="shared" si="6"/>
        <v>79.310344827586206</v>
      </c>
      <c r="AH43" s="2">
        <v>19</v>
      </c>
      <c r="AI43" s="2">
        <v>8</v>
      </c>
      <c r="AJ43" s="2">
        <v>13</v>
      </c>
      <c r="AK43" s="2">
        <v>8</v>
      </c>
      <c r="AL43" s="2">
        <v>4</v>
      </c>
      <c r="AM43" s="2">
        <f t="shared" si="7"/>
        <v>52</v>
      </c>
      <c r="AN43" s="2" t="s">
        <v>1658</v>
      </c>
      <c r="AO43" s="2" t="s">
        <v>1659</v>
      </c>
      <c r="AP43" s="2" t="s">
        <v>1660</v>
      </c>
      <c r="AQ43" s="2" t="s">
        <v>1661</v>
      </c>
      <c r="AR43" s="2" t="s">
        <v>1662</v>
      </c>
      <c r="AS43" s="2" t="s">
        <v>1663</v>
      </c>
      <c r="AT43" s="2" t="s">
        <v>1664</v>
      </c>
      <c r="AU43" s="2" t="s">
        <v>1665</v>
      </c>
      <c r="AV43" s="2" t="s">
        <v>1392</v>
      </c>
      <c r="AW43" s="2" t="s">
        <v>1666</v>
      </c>
      <c r="AX43" s="2" t="s">
        <v>1667</v>
      </c>
      <c r="AY43" s="2" t="s">
        <v>1668</v>
      </c>
      <c r="AZ43" s="2" t="s">
        <v>1669</v>
      </c>
      <c r="BA43" s="2" t="s">
        <v>1670</v>
      </c>
      <c r="BB43" s="2" t="s">
        <v>1671</v>
      </c>
      <c r="BC43" s="2" t="s">
        <v>1672</v>
      </c>
      <c r="BD43" s="2" t="s">
        <v>1673</v>
      </c>
      <c r="BE43" s="2" t="s">
        <v>1674</v>
      </c>
      <c r="BF43" s="2" t="s">
        <v>1675</v>
      </c>
      <c r="BG43" s="2" t="s">
        <v>1676</v>
      </c>
      <c r="BH43" s="2" t="s">
        <v>1677</v>
      </c>
      <c r="BI43" s="2" t="s">
        <v>1678</v>
      </c>
      <c r="BJ43" s="2" t="s">
        <v>1679</v>
      </c>
      <c r="BK43" s="2" t="s">
        <v>1680</v>
      </c>
      <c r="BL43" s="2" t="s">
        <v>1129</v>
      </c>
      <c r="BM43" s="2" t="s">
        <v>1681</v>
      </c>
      <c r="BN43" s="2" t="s">
        <v>1682</v>
      </c>
      <c r="BO43" s="2" t="s">
        <v>1683</v>
      </c>
      <c r="BP43" s="2" t="s">
        <v>1684</v>
      </c>
      <c r="BQ43" s="2" t="s">
        <v>1685</v>
      </c>
    </row>
    <row r="44" spans="1:69" x14ac:dyDescent="0.35">
      <c r="A44" s="2">
        <v>43</v>
      </c>
      <c r="B44" s="2" t="s">
        <v>2062</v>
      </c>
      <c r="C44" s="3">
        <v>37111</v>
      </c>
      <c r="D44" s="3">
        <v>1252255782</v>
      </c>
      <c r="E44" s="2">
        <v>21265441780</v>
      </c>
      <c r="F44" s="4">
        <v>806505364526</v>
      </c>
      <c r="G44" s="17" t="s">
        <v>57</v>
      </c>
      <c r="H44" s="17" t="s">
        <v>57</v>
      </c>
      <c r="I44" s="17" t="s">
        <v>32</v>
      </c>
      <c r="J44" s="67" t="s">
        <v>405</v>
      </c>
      <c r="K44" s="6" t="s">
        <v>311</v>
      </c>
      <c r="L44" s="6" t="s">
        <v>220</v>
      </c>
      <c r="M44" s="7" t="s">
        <v>265</v>
      </c>
      <c r="N44" s="8" t="s">
        <v>312</v>
      </c>
      <c r="O44" s="8" t="s">
        <v>25</v>
      </c>
      <c r="P44" s="3" t="s">
        <v>26</v>
      </c>
      <c r="Q44" s="6" t="s">
        <v>313</v>
      </c>
      <c r="R44" s="7">
        <v>8737996950</v>
      </c>
      <c r="S44" s="9" t="s">
        <v>314</v>
      </c>
      <c r="T44" s="45" t="s">
        <v>415</v>
      </c>
      <c r="U44" s="45"/>
      <c r="V44" s="84"/>
      <c r="W44" s="2">
        <v>20</v>
      </c>
      <c r="X44" s="2">
        <f t="shared" si="0"/>
        <v>86.956521739130437</v>
      </c>
      <c r="Y44" s="2">
        <v>16</v>
      </c>
      <c r="Z44" s="2">
        <f t="shared" si="1"/>
        <v>36</v>
      </c>
      <c r="AA44" s="2">
        <f t="shared" si="2"/>
        <v>92.307692307692307</v>
      </c>
      <c r="AB44" s="2">
        <v>26</v>
      </c>
      <c r="AC44" s="2">
        <f t="shared" si="3"/>
        <v>62</v>
      </c>
      <c r="AD44" s="2">
        <f t="shared" si="4"/>
        <v>95.384615384615387</v>
      </c>
      <c r="AE44" s="2">
        <v>22</v>
      </c>
      <c r="AF44" s="2">
        <f t="shared" si="5"/>
        <v>84</v>
      </c>
      <c r="AG44" s="2">
        <f t="shared" si="6"/>
        <v>96.551724137931032</v>
      </c>
      <c r="AH44" s="2">
        <v>9</v>
      </c>
      <c r="AI44" s="2">
        <v>4</v>
      </c>
      <c r="AJ44" s="2">
        <v>3</v>
      </c>
      <c r="AK44" s="2">
        <v>7</v>
      </c>
      <c r="AL44" s="2">
        <v>3</v>
      </c>
      <c r="AM44" s="2">
        <f t="shared" si="7"/>
        <v>26</v>
      </c>
      <c r="AN44" s="2" t="s">
        <v>688</v>
      </c>
      <c r="AO44" s="2" t="s">
        <v>1686</v>
      </c>
      <c r="AP44" s="2" t="s">
        <v>1687</v>
      </c>
      <c r="AQ44" s="2" t="s">
        <v>1688</v>
      </c>
      <c r="AR44" s="2" t="s">
        <v>1689</v>
      </c>
      <c r="AS44" s="2" t="s">
        <v>1690</v>
      </c>
      <c r="AT44" s="2" t="s">
        <v>1691</v>
      </c>
      <c r="AU44" s="2" t="s">
        <v>1692</v>
      </c>
      <c r="AV44" s="2" t="s">
        <v>1693</v>
      </c>
      <c r="AW44" s="2" t="s">
        <v>1694</v>
      </c>
      <c r="AX44" s="2" t="s">
        <v>1695</v>
      </c>
      <c r="AY44" s="2" t="s">
        <v>1696</v>
      </c>
      <c r="AZ44" s="2" t="s">
        <v>1697</v>
      </c>
      <c r="BA44" s="2" t="s">
        <v>1698</v>
      </c>
      <c r="BB44" s="2" t="s">
        <v>1699</v>
      </c>
      <c r="BC44" s="2" t="s">
        <v>971</v>
      </c>
      <c r="BD44" s="2" t="s">
        <v>1700</v>
      </c>
      <c r="BE44" s="2" t="s">
        <v>1701</v>
      </c>
      <c r="BF44" s="2" t="s">
        <v>1702</v>
      </c>
      <c r="BG44" s="2" t="s">
        <v>1703</v>
      </c>
      <c r="BH44" s="2" t="s">
        <v>1704</v>
      </c>
      <c r="BI44" s="2" t="s">
        <v>1705</v>
      </c>
      <c r="BJ44" s="2" t="s">
        <v>1706</v>
      </c>
      <c r="BK44" s="2" t="s">
        <v>1707</v>
      </c>
      <c r="BL44" s="2" t="s">
        <v>1708</v>
      </c>
      <c r="BM44" s="2" t="s">
        <v>1709</v>
      </c>
      <c r="BN44" s="2" t="s">
        <v>1710</v>
      </c>
      <c r="BO44" s="2" t="s">
        <v>1711</v>
      </c>
      <c r="BP44" s="2" t="s">
        <v>1283</v>
      </c>
      <c r="BQ44" s="2" t="s">
        <v>1284</v>
      </c>
    </row>
    <row r="45" spans="1:69" x14ac:dyDescent="0.35">
      <c r="A45" s="2">
        <v>44</v>
      </c>
      <c r="B45" s="2" t="s">
        <v>2062</v>
      </c>
      <c r="C45" s="3">
        <v>38962</v>
      </c>
      <c r="D45" s="3">
        <v>1252255799</v>
      </c>
      <c r="E45" s="2">
        <v>21441601748</v>
      </c>
      <c r="F45" s="4">
        <v>261942580872</v>
      </c>
      <c r="G45" s="8" t="s">
        <v>97</v>
      </c>
      <c r="H45" s="8" t="s">
        <v>74</v>
      </c>
      <c r="I45" s="8" t="s">
        <v>32</v>
      </c>
      <c r="J45" s="66" t="s">
        <v>285</v>
      </c>
      <c r="K45" s="8" t="s">
        <v>286</v>
      </c>
      <c r="L45" s="8" t="s">
        <v>287</v>
      </c>
      <c r="M45" s="7" t="s">
        <v>265</v>
      </c>
      <c r="N45" s="8" t="s">
        <v>69</v>
      </c>
      <c r="O45" s="8" t="s">
        <v>25</v>
      </c>
      <c r="P45" s="3" t="s">
        <v>26</v>
      </c>
      <c r="Q45" s="8" t="s">
        <v>111</v>
      </c>
      <c r="R45" s="7">
        <v>8960963449</v>
      </c>
      <c r="S45" s="35" t="s">
        <v>288</v>
      </c>
      <c r="T45" s="44" t="s">
        <v>415</v>
      </c>
      <c r="U45" s="52"/>
      <c r="V45" s="79"/>
      <c r="W45" s="2">
        <v>21</v>
      </c>
      <c r="X45" s="2">
        <f t="shared" si="0"/>
        <v>91.304347826086953</v>
      </c>
      <c r="Y45" s="2">
        <v>14</v>
      </c>
      <c r="Z45" s="2">
        <f t="shared" si="1"/>
        <v>35</v>
      </c>
      <c r="AA45" s="2">
        <f t="shared" si="2"/>
        <v>89.743589743589752</v>
      </c>
      <c r="AB45" s="2">
        <v>23</v>
      </c>
      <c r="AC45" s="2">
        <f t="shared" si="3"/>
        <v>58</v>
      </c>
      <c r="AD45" s="2">
        <f t="shared" si="4"/>
        <v>89.230769230769241</v>
      </c>
      <c r="AE45" s="2">
        <v>19</v>
      </c>
      <c r="AF45" s="2">
        <f t="shared" si="5"/>
        <v>77</v>
      </c>
      <c r="AG45" s="2">
        <f t="shared" si="6"/>
        <v>88.505747126436788</v>
      </c>
      <c r="AH45" s="2">
        <v>17</v>
      </c>
      <c r="AI45" s="2">
        <v>5</v>
      </c>
      <c r="AJ45" s="2">
        <v>1</v>
      </c>
      <c r="AK45" s="2">
        <v>2</v>
      </c>
      <c r="AL45" s="2">
        <v>1</v>
      </c>
      <c r="AM45" s="2">
        <f t="shared" si="7"/>
        <v>26</v>
      </c>
      <c r="AN45" s="2" t="s">
        <v>1712</v>
      </c>
      <c r="AO45" s="2" t="s">
        <v>1713</v>
      </c>
      <c r="AP45" s="2" t="s">
        <v>1714</v>
      </c>
      <c r="AQ45" s="2" t="s">
        <v>1715</v>
      </c>
      <c r="AR45" s="2" t="s">
        <v>1716</v>
      </c>
      <c r="AS45" s="2" t="s">
        <v>1717</v>
      </c>
      <c r="AT45" s="2" t="s">
        <v>1691</v>
      </c>
      <c r="AU45" s="2" t="s">
        <v>1692</v>
      </c>
      <c r="AV45" s="2" t="s">
        <v>1718</v>
      </c>
      <c r="AW45" s="2" t="s">
        <v>1666</v>
      </c>
      <c r="AX45" s="2" t="s">
        <v>1719</v>
      </c>
      <c r="AY45" s="2" t="s">
        <v>1206</v>
      </c>
      <c r="AZ45" s="2" t="s">
        <v>1720</v>
      </c>
      <c r="BA45" s="2" t="s">
        <v>1208</v>
      </c>
      <c r="BB45" s="2" t="s">
        <v>1269</v>
      </c>
      <c r="BC45" s="2" t="s">
        <v>1270</v>
      </c>
      <c r="BD45" s="2" t="s">
        <v>1721</v>
      </c>
      <c r="BE45" s="2" t="s">
        <v>1722</v>
      </c>
      <c r="BF45" s="2" t="s">
        <v>1723</v>
      </c>
      <c r="BG45" s="2" t="s">
        <v>1724</v>
      </c>
      <c r="BH45" s="2" t="s">
        <v>1725</v>
      </c>
      <c r="BI45" s="2" t="s">
        <v>1216</v>
      </c>
      <c r="BJ45" s="2" t="s">
        <v>1217</v>
      </c>
      <c r="BK45" s="2" t="s">
        <v>1218</v>
      </c>
      <c r="BL45" s="2" t="s">
        <v>1219</v>
      </c>
      <c r="BM45" s="2" t="s">
        <v>1220</v>
      </c>
      <c r="BN45" s="2" t="s">
        <v>1726</v>
      </c>
      <c r="BO45" s="2" t="s">
        <v>1727</v>
      </c>
      <c r="BP45" s="2" t="s">
        <v>1728</v>
      </c>
      <c r="BQ45" s="2" t="s">
        <v>1729</v>
      </c>
    </row>
    <row r="46" spans="1:69" x14ac:dyDescent="0.35">
      <c r="A46" s="2">
        <v>45</v>
      </c>
      <c r="B46" s="2" t="s">
        <v>2062</v>
      </c>
      <c r="C46" s="3">
        <v>37245</v>
      </c>
      <c r="D46" s="3">
        <v>1252255804</v>
      </c>
      <c r="E46" s="2">
        <v>21794768787</v>
      </c>
      <c r="F46" s="4">
        <v>700795306319</v>
      </c>
      <c r="G46" s="17" t="s">
        <v>57</v>
      </c>
      <c r="H46" s="17" t="s">
        <v>65</v>
      </c>
      <c r="I46" s="17" t="s">
        <v>32</v>
      </c>
      <c r="J46" s="6" t="s">
        <v>289</v>
      </c>
      <c r="K46" s="6" t="s">
        <v>290</v>
      </c>
      <c r="L46" s="6" t="s">
        <v>291</v>
      </c>
      <c r="M46" s="7" t="s">
        <v>265</v>
      </c>
      <c r="N46" s="8" t="s">
        <v>24</v>
      </c>
      <c r="O46" s="8" t="s">
        <v>25</v>
      </c>
      <c r="P46" s="3" t="s">
        <v>26</v>
      </c>
      <c r="Q46" s="6" t="s">
        <v>292</v>
      </c>
      <c r="R46" s="7">
        <v>9696039630</v>
      </c>
      <c r="S46" s="9" t="s">
        <v>293</v>
      </c>
      <c r="T46" s="44" t="s">
        <v>410</v>
      </c>
      <c r="U46" s="44"/>
      <c r="V46" s="77"/>
      <c r="W46" s="2">
        <v>16</v>
      </c>
      <c r="X46" s="2">
        <f t="shared" si="0"/>
        <v>69.565217391304344</v>
      </c>
      <c r="Y46" s="2">
        <v>14</v>
      </c>
      <c r="Z46" s="2">
        <f t="shared" si="1"/>
        <v>30</v>
      </c>
      <c r="AA46" s="2">
        <f t="shared" si="2"/>
        <v>76.923076923076934</v>
      </c>
      <c r="AB46" s="2">
        <v>18</v>
      </c>
      <c r="AC46" s="2">
        <f t="shared" si="3"/>
        <v>48</v>
      </c>
      <c r="AD46" s="2">
        <f t="shared" si="4"/>
        <v>73.846153846153854</v>
      </c>
      <c r="AE46" s="2">
        <v>16</v>
      </c>
      <c r="AF46" s="2">
        <f t="shared" si="5"/>
        <v>64</v>
      </c>
      <c r="AG46" s="2">
        <f t="shared" si="6"/>
        <v>73.563218390804593</v>
      </c>
      <c r="AH46" s="2">
        <v>15</v>
      </c>
      <c r="AI46" s="2">
        <v>6</v>
      </c>
      <c r="AJ46" s="2">
        <v>10</v>
      </c>
      <c r="AK46" s="2">
        <v>9</v>
      </c>
      <c r="AL46" s="2">
        <v>11</v>
      </c>
      <c r="AM46" s="2">
        <f t="shared" si="7"/>
        <v>51</v>
      </c>
      <c r="AN46" s="2" t="s">
        <v>1730</v>
      </c>
      <c r="AO46" s="2" t="s">
        <v>1731</v>
      </c>
      <c r="AP46" s="2" t="s">
        <v>1732</v>
      </c>
      <c r="AQ46" s="2" t="s">
        <v>1733</v>
      </c>
      <c r="AR46" s="2" t="s">
        <v>1734</v>
      </c>
      <c r="AS46" s="2" t="s">
        <v>1200</v>
      </c>
      <c r="AT46" s="2" t="s">
        <v>1261</v>
      </c>
      <c r="AU46" s="2" t="s">
        <v>1262</v>
      </c>
      <c r="AV46" s="2" t="s">
        <v>1263</v>
      </c>
      <c r="AW46" s="2" t="s">
        <v>1264</v>
      </c>
      <c r="AX46" s="2" t="s">
        <v>1735</v>
      </c>
      <c r="AY46" s="2" t="s">
        <v>1736</v>
      </c>
      <c r="AZ46" s="2" t="s">
        <v>1737</v>
      </c>
      <c r="BA46" s="2" t="s">
        <v>1738</v>
      </c>
      <c r="BB46" s="2" t="s">
        <v>1209</v>
      </c>
      <c r="BC46" s="2" t="s">
        <v>1210</v>
      </c>
      <c r="BD46" s="2" t="s">
        <v>1739</v>
      </c>
      <c r="BE46" s="2" t="s">
        <v>1212</v>
      </c>
      <c r="BF46" s="2" t="s">
        <v>1740</v>
      </c>
      <c r="BG46" s="2" t="s">
        <v>1403</v>
      </c>
      <c r="BH46" s="2" t="s">
        <v>1741</v>
      </c>
      <c r="BI46" s="2" t="s">
        <v>1742</v>
      </c>
      <c r="BJ46" s="2" t="s">
        <v>1743</v>
      </c>
      <c r="BK46" s="2" t="s">
        <v>1744</v>
      </c>
      <c r="BL46" s="2" t="s">
        <v>1467</v>
      </c>
      <c r="BM46" s="2" t="s">
        <v>1709</v>
      </c>
      <c r="BN46" s="2" t="s">
        <v>1745</v>
      </c>
      <c r="BO46" s="2" t="s">
        <v>1746</v>
      </c>
      <c r="BP46" s="2" t="s">
        <v>1747</v>
      </c>
      <c r="BQ46" s="2" t="s">
        <v>1748</v>
      </c>
    </row>
    <row r="47" spans="1:69" x14ac:dyDescent="0.35">
      <c r="A47" s="2">
        <v>46</v>
      </c>
      <c r="B47" s="2" t="s">
        <v>2062</v>
      </c>
      <c r="C47" s="3">
        <v>37743</v>
      </c>
      <c r="D47" s="3">
        <v>1252255816</v>
      </c>
      <c r="E47" s="2">
        <v>21762790714</v>
      </c>
      <c r="F47" s="10">
        <v>247366601273</v>
      </c>
      <c r="G47" s="17" t="s">
        <v>294</v>
      </c>
      <c r="H47" s="17" t="s">
        <v>73</v>
      </c>
      <c r="I47" s="17" t="s">
        <v>19</v>
      </c>
      <c r="J47" s="8" t="s">
        <v>295</v>
      </c>
      <c r="K47" s="8" t="s">
        <v>296</v>
      </c>
      <c r="L47" s="8" t="s">
        <v>297</v>
      </c>
      <c r="M47" s="7" t="s">
        <v>265</v>
      </c>
      <c r="N47" s="8" t="s">
        <v>298</v>
      </c>
      <c r="O47" s="8" t="s">
        <v>25</v>
      </c>
      <c r="P47" s="3" t="s">
        <v>23</v>
      </c>
      <c r="Q47" s="8" t="s">
        <v>111</v>
      </c>
      <c r="R47" s="7">
        <v>8112876063</v>
      </c>
      <c r="S47" s="12" t="s">
        <v>299</v>
      </c>
      <c r="T47" s="44" t="s">
        <v>410</v>
      </c>
      <c r="U47" s="52" t="s">
        <v>414</v>
      </c>
      <c r="V47" s="79" t="s">
        <v>414</v>
      </c>
      <c r="W47" s="2">
        <v>20</v>
      </c>
      <c r="X47" s="2">
        <f t="shared" si="0"/>
        <v>86.956521739130437</v>
      </c>
      <c r="Y47" s="2">
        <v>16</v>
      </c>
      <c r="Z47" s="2">
        <f t="shared" si="1"/>
        <v>36</v>
      </c>
      <c r="AA47" s="2">
        <f t="shared" si="2"/>
        <v>92.307692307692307</v>
      </c>
      <c r="AB47" s="2">
        <v>15</v>
      </c>
      <c r="AC47" s="2">
        <f t="shared" si="3"/>
        <v>51</v>
      </c>
      <c r="AD47" s="2">
        <f t="shared" si="4"/>
        <v>78.461538461538467</v>
      </c>
      <c r="AE47" s="2">
        <v>17</v>
      </c>
      <c r="AF47" s="2">
        <f t="shared" si="5"/>
        <v>68</v>
      </c>
      <c r="AG47" s="2">
        <f t="shared" si="6"/>
        <v>78.160919540229884</v>
      </c>
      <c r="AH47" s="2">
        <v>5</v>
      </c>
      <c r="AI47" s="2">
        <v>0</v>
      </c>
      <c r="AJ47" s="2">
        <v>1</v>
      </c>
      <c r="AK47" s="2">
        <v>0</v>
      </c>
      <c r="AL47" s="2">
        <v>6</v>
      </c>
      <c r="AM47" s="2">
        <f t="shared" si="7"/>
        <v>12</v>
      </c>
      <c r="AN47" s="2" t="s">
        <v>1749</v>
      </c>
      <c r="AO47" s="2" t="s">
        <v>1750</v>
      </c>
      <c r="AP47" s="2" t="s">
        <v>1751</v>
      </c>
      <c r="AQ47" s="2" t="s">
        <v>1752</v>
      </c>
      <c r="AR47" s="2" t="s">
        <v>1753</v>
      </c>
      <c r="AS47" s="2" t="s">
        <v>1754</v>
      </c>
      <c r="AT47" s="2" t="s">
        <v>1755</v>
      </c>
      <c r="AU47" s="2" t="s">
        <v>1756</v>
      </c>
      <c r="AV47" s="2" t="s">
        <v>1757</v>
      </c>
      <c r="AW47" s="2" t="s">
        <v>1758</v>
      </c>
      <c r="AX47" s="2" t="s">
        <v>1759</v>
      </c>
      <c r="AY47" s="2" t="s">
        <v>1760</v>
      </c>
      <c r="AZ47" s="2" t="s">
        <v>1761</v>
      </c>
      <c r="BA47" s="2" t="s">
        <v>1762</v>
      </c>
      <c r="BB47" s="2" t="s">
        <v>1763</v>
      </c>
      <c r="BC47" s="2" t="s">
        <v>1764</v>
      </c>
      <c r="BD47" s="2" t="s">
        <v>1765</v>
      </c>
      <c r="BE47" s="2" t="s">
        <v>1766</v>
      </c>
      <c r="BF47" s="2" t="s">
        <v>1767</v>
      </c>
      <c r="BG47" s="2" t="s">
        <v>1768</v>
      </c>
      <c r="BH47" s="2" t="s">
        <v>1769</v>
      </c>
      <c r="BI47" s="2" t="s">
        <v>1770</v>
      </c>
      <c r="BJ47" s="2" t="s">
        <v>1771</v>
      </c>
      <c r="BK47" s="2" t="s">
        <v>1772</v>
      </c>
      <c r="BL47" s="2" t="s">
        <v>1773</v>
      </c>
      <c r="BM47" s="2" t="s">
        <v>1681</v>
      </c>
      <c r="BN47" s="2" t="s">
        <v>1774</v>
      </c>
      <c r="BO47" s="2" t="s">
        <v>1775</v>
      </c>
      <c r="BP47" s="2" t="s">
        <v>1776</v>
      </c>
      <c r="BQ47" s="2" t="s">
        <v>1777</v>
      </c>
    </row>
    <row r="48" spans="1:69" x14ac:dyDescent="0.35">
      <c r="A48" s="2">
        <v>47</v>
      </c>
      <c r="B48" s="2" t="s">
        <v>2062</v>
      </c>
      <c r="C48" s="3">
        <v>37110</v>
      </c>
      <c r="D48" s="3">
        <v>1252255822</v>
      </c>
      <c r="E48" s="2">
        <v>21787689004</v>
      </c>
      <c r="F48" s="4">
        <v>334745998796</v>
      </c>
      <c r="G48" s="17" t="s">
        <v>300</v>
      </c>
      <c r="H48" s="17" t="s">
        <v>65</v>
      </c>
      <c r="I48" s="17" t="s">
        <v>120</v>
      </c>
      <c r="J48" s="67" t="s">
        <v>301</v>
      </c>
      <c r="K48" s="6" t="s">
        <v>302</v>
      </c>
      <c r="L48" s="6" t="s">
        <v>303</v>
      </c>
      <c r="M48" s="7" t="s">
        <v>265</v>
      </c>
      <c r="N48" s="8" t="s">
        <v>157</v>
      </c>
      <c r="O48" s="8" t="s">
        <v>47</v>
      </c>
      <c r="P48" s="3" t="s">
        <v>26</v>
      </c>
      <c r="Q48" s="6" t="s">
        <v>304</v>
      </c>
      <c r="R48" s="36">
        <v>9451527052</v>
      </c>
      <c r="S48" s="9" t="s">
        <v>305</v>
      </c>
      <c r="T48" s="44" t="s">
        <v>415</v>
      </c>
      <c r="U48" s="44"/>
      <c r="V48" s="77"/>
      <c r="W48" s="2">
        <v>21</v>
      </c>
      <c r="X48" s="2">
        <f t="shared" si="0"/>
        <v>91.304347826086953</v>
      </c>
      <c r="Y48" s="2">
        <v>1</v>
      </c>
      <c r="Z48" s="2">
        <f t="shared" si="1"/>
        <v>22</v>
      </c>
      <c r="AA48" s="2">
        <f t="shared" si="2"/>
        <v>56.410256410256409</v>
      </c>
      <c r="AB48" s="2">
        <v>23</v>
      </c>
      <c r="AC48" s="2">
        <f t="shared" si="3"/>
        <v>45</v>
      </c>
      <c r="AD48" s="2">
        <f t="shared" si="4"/>
        <v>69.230769230769226</v>
      </c>
      <c r="AE48" s="2">
        <v>16</v>
      </c>
      <c r="AF48" s="2">
        <f t="shared" si="5"/>
        <v>61</v>
      </c>
      <c r="AG48" s="2">
        <f t="shared" si="6"/>
        <v>70.114942528735639</v>
      </c>
      <c r="AH48" s="2">
        <v>14</v>
      </c>
      <c r="AI48" s="2">
        <v>6</v>
      </c>
      <c r="AJ48" s="2">
        <v>5</v>
      </c>
      <c r="AK48" s="2">
        <v>1</v>
      </c>
      <c r="AL48" s="2">
        <v>2</v>
      </c>
      <c r="AM48" s="2">
        <f t="shared" si="7"/>
        <v>28</v>
      </c>
      <c r="AN48" s="2" t="s">
        <v>1778</v>
      </c>
      <c r="AO48" s="2" t="s">
        <v>1779</v>
      </c>
      <c r="AP48" s="2" t="s">
        <v>1780</v>
      </c>
      <c r="AQ48" s="2" t="s">
        <v>1781</v>
      </c>
      <c r="AR48" s="2" t="s">
        <v>1782</v>
      </c>
      <c r="AS48" s="2" t="s">
        <v>1783</v>
      </c>
      <c r="AT48" s="2" t="s">
        <v>1784</v>
      </c>
      <c r="AU48" s="2" t="s">
        <v>1785</v>
      </c>
      <c r="AV48" s="2" t="s">
        <v>1786</v>
      </c>
      <c r="AW48" s="2" t="s">
        <v>1787</v>
      </c>
      <c r="AX48" s="2" t="s">
        <v>1788</v>
      </c>
      <c r="AY48" s="2" t="s">
        <v>1789</v>
      </c>
      <c r="AZ48" s="2" t="s">
        <v>1790</v>
      </c>
      <c r="BA48" s="2" t="s">
        <v>1791</v>
      </c>
      <c r="BB48" s="2" t="s">
        <v>1792</v>
      </c>
      <c r="BC48" s="2" t="s">
        <v>1793</v>
      </c>
      <c r="BD48" s="2" t="s">
        <v>1794</v>
      </c>
      <c r="BE48" s="2" t="s">
        <v>1795</v>
      </c>
      <c r="BF48" s="2" t="s">
        <v>1796</v>
      </c>
      <c r="BG48" s="2" t="s">
        <v>1797</v>
      </c>
      <c r="BH48" s="2" t="s">
        <v>1798</v>
      </c>
      <c r="BI48" s="2" t="s">
        <v>1799</v>
      </c>
      <c r="BJ48" s="2" t="s">
        <v>1800</v>
      </c>
      <c r="BK48" s="2" t="s">
        <v>1801</v>
      </c>
      <c r="BL48" s="2" t="s">
        <v>1802</v>
      </c>
      <c r="BM48" s="2" t="s">
        <v>1803</v>
      </c>
      <c r="BN48" s="2" t="s">
        <v>1804</v>
      </c>
      <c r="BO48" s="2" t="s">
        <v>1805</v>
      </c>
      <c r="BP48" s="2" t="s">
        <v>1806</v>
      </c>
      <c r="BQ48" s="2" t="s">
        <v>1807</v>
      </c>
    </row>
    <row r="49" spans="1:69" x14ac:dyDescent="0.35">
      <c r="A49" s="2">
        <v>48</v>
      </c>
      <c r="B49" s="2" t="s">
        <v>2062</v>
      </c>
      <c r="C49" s="3">
        <v>38999</v>
      </c>
      <c r="D49" s="3">
        <v>1252255829</v>
      </c>
      <c r="E49" s="2">
        <v>21375397775</v>
      </c>
      <c r="F49" s="4">
        <v>289062889375</v>
      </c>
      <c r="G49" s="8" t="s">
        <v>95</v>
      </c>
      <c r="H49" s="8" t="s">
        <v>73</v>
      </c>
      <c r="I49" s="8" t="s">
        <v>32</v>
      </c>
      <c r="J49" s="20" t="s">
        <v>320</v>
      </c>
      <c r="K49" s="8" t="s">
        <v>321</v>
      </c>
      <c r="L49" s="8" t="s">
        <v>322</v>
      </c>
      <c r="M49" s="7" t="s">
        <v>265</v>
      </c>
      <c r="N49" s="8" t="s">
        <v>323</v>
      </c>
      <c r="O49" s="8" t="s">
        <v>25</v>
      </c>
      <c r="P49" s="3" t="s">
        <v>26</v>
      </c>
      <c r="Q49" s="8" t="s">
        <v>324</v>
      </c>
      <c r="R49" s="7">
        <v>9569554818</v>
      </c>
      <c r="S49" s="35" t="s">
        <v>325</v>
      </c>
      <c r="T49" s="44" t="s">
        <v>411</v>
      </c>
      <c r="U49" s="70" t="s">
        <v>427</v>
      </c>
      <c r="V49" s="79" t="s">
        <v>428</v>
      </c>
      <c r="W49" s="2">
        <v>22</v>
      </c>
      <c r="X49" s="2">
        <f t="shared" si="0"/>
        <v>95.652173913043484</v>
      </c>
      <c r="Y49" s="2">
        <v>15</v>
      </c>
      <c r="Z49" s="2">
        <f t="shared" si="1"/>
        <v>37</v>
      </c>
      <c r="AA49" s="2">
        <f t="shared" si="2"/>
        <v>94.871794871794862</v>
      </c>
      <c r="AB49" s="2">
        <v>23</v>
      </c>
      <c r="AC49" s="2">
        <f t="shared" si="3"/>
        <v>60</v>
      </c>
      <c r="AD49" s="2">
        <f t="shared" si="4"/>
        <v>92.307692307692307</v>
      </c>
      <c r="AE49" s="2">
        <v>20</v>
      </c>
      <c r="AF49" s="2">
        <f t="shared" si="5"/>
        <v>80</v>
      </c>
      <c r="AG49" s="2">
        <f t="shared" si="6"/>
        <v>91.954022988505741</v>
      </c>
      <c r="AH49" s="2">
        <v>14</v>
      </c>
      <c r="AI49" s="2">
        <v>3</v>
      </c>
      <c r="AJ49" s="2">
        <v>10</v>
      </c>
      <c r="AK49" s="2">
        <v>6</v>
      </c>
      <c r="AL49" s="2">
        <v>1</v>
      </c>
      <c r="AM49" s="2">
        <f t="shared" si="7"/>
        <v>34</v>
      </c>
      <c r="AN49" s="2" t="s">
        <v>688</v>
      </c>
      <c r="AO49" s="2" t="s">
        <v>1808</v>
      </c>
      <c r="AP49" s="2" t="s">
        <v>1809</v>
      </c>
      <c r="AQ49" s="2" t="s">
        <v>1810</v>
      </c>
      <c r="AR49" s="2" t="s">
        <v>1716</v>
      </c>
      <c r="AS49" s="2" t="s">
        <v>1717</v>
      </c>
      <c r="AT49" s="2" t="s">
        <v>1691</v>
      </c>
      <c r="AU49" s="2" t="s">
        <v>1692</v>
      </c>
      <c r="AV49" s="2" t="s">
        <v>1811</v>
      </c>
      <c r="AW49" s="2" t="s">
        <v>1812</v>
      </c>
      <c r="AX49" s="2" t="s">
        <v>1719</v>
      </c>
      <c r="AY49" s="2" t="s">
        <v>1206</v>
      </c>
      <c r="AZ49" s="2" t="s">
        <v>1813</v>
      </c>
      <c r="BA49" s="2" t="s">
        <v>1814</v>
      </c>
      <c r="BB49" s="2" t="s">
        <v>1815</v>
      </c>
      <c r="BC49" s="2" t="s">
        <v>1816</v>
      </c>
      <c r="BD49" s="2" t="s">
        <v>1817</v>
      </c>
      <c r="BE49" s="2" t="s">
        <v>1818</v>
      </c>
      <c r="BF49" s="2" t="s">
        <v>1819</v>
      </c>
      <c r="BG49" s="2" t="s">
        <v>946</v>
      </c>
      <c r="BH49" s="2" t="s">
        <v>1820</v>
      </c>
      <c r="BI49" s="2" t="s">
        <v>1066</v>
      </c>
      <c r="BJ49" s="2" t="s">
        <v>1706</v>
      </c>
      <c r="BK49" s="2" t="s">
        <v>1707</v>
      </c>
      <c r="BL49" s="2" t="s">
        <v>1821</v>
      </c>
      <c r="BM49" s="2" t="s">
        <v>1822</v>
      </c>
      <c r="BN49" s="2" t="s">
        <v>1710</v>
      </c>
      <c r="BO49" s="2" t="s">
        <v>1711</v>
      </c>
      <c r="BP49" s="2" t="s">
        <v>1283</v>
      </c>
      <c r="BQ49" s="2" t="s">
        <v>1284</v>
      </c>
    </row>
    <row r="50" spans="1:69" x14ac:dyDescent="0.35">
      <c r="A50" s="2">
        <v>49</v>
      </c>
      <c r="B50" s="2" t="s">
        <v>2062</v>
      </c>
      <c r="C50" s="3">
        <v>37089</v>
      </c>
      <c r="D50" s="3">
        <v>1252255837</v>
      </c>
      <c r="E50" s="2">
        <v>21286280917</v>
      </c>
      <c r="F50" s="10">
        <v>495350440768</v>
      </c>
      <c r="G50" s="17" t="s">
        <v>326</v>
      </c>
      <c r="H50" s="17" t="s">
        <v>65</v>
      </c>
      <c r="I50" s="17" t="s">
        <v>120</v>
      </c>
      <c r="J50" s="8" t="s">
        <v>327</v>
      </c>
      <c r="K50" s="8" t="s">
        <v>328</v>
      </c>
      <c r="L50" s="8" t="s">
        <v>329</v>
      </c>
      <c r="M50" s="7" t="s">
        <v>265</v>
      </c>
      <c r="N50" s="8" t="s">
        <v>330</v>
      </c>
      <c r="O50" s="38" t="s">
        <v>25</v>
      </c>
      <c r="P50" s="3" t="s">
        <v>23</v>
      </c>
      <c r="Q50" s="8" t="s">
        <v>331</v>
      </c>
      <c r="R50" s="7">
        <v>8381973787</v>
      </c>
      <c r="S50" s="12" t="s">
        <v>332</v>
      </c>
      <c r="T50" s="44" t="s">
        <v>410</v>
      </c>
      <c r="U50" s="52" t="s">
        <v>414</v>
      </c>
      <c r="V50" s="79" t="s">
        <v>414</v>
      </c>
      <c r="W50" s="2">
        <v>17</v>
      </c>
      <c r="X50" s="2">
        <f t="shared" si="0"/>
        <v>73.91304347826086</v>
      </c>
      <c r="Y50" s="2">
        <v>0</v>
      </c>
      <c r="Z50" s="2">
        <f t="shared" si="1"/>
        <v>17</v>
      </c>
      <c r="AA50" s="2">
        <f t="shared" si="2"/>
        <v>43.589743589743591</v>
      </c>
      <c r="AB50" s="2">
        <v>22</v>
      </c>
      <c r="AC50" s="2">
        <f t="shared" si="3"/>
        <v>39</v>
      </c>
      <c r="AD50" s="2">
        <f t="shared" si="4"/>
        <v>60</v>
      </c>
      <c r="AE50" s="2">
        <v>18</v>
      </c>
      <c r="AF50" s="2">
        <f t="shared" si="5"/>
        <v>57</v>
      </c>
      <c r="AG50" s="2">
        <f t="shared" si="6"/>
        <v>65.517241379310349</v>
      </c>
      <c r="AH50" s="2">
        <v>12</v>
      </c>
      <c r="AI50" s="2">
        <v>8</v>
      </c>
      <c r="AJ50" s="2">
        <v>2</v>
      </c>
      <c r="AK50" s="2">
        <v>6</v>
      </c>
      <c r="AL50" s="2">
        <v>2</v>
      </c>
      <c r="AM50" s="2">
        <f t="shared" si="7"/>
        <v>30</v>
      </c>
      <c r="AN50" s="2" t="s">
        <v>1823</v>
      </c>
      <c r="AO50" s="2" t="s">
        <v>1824</v>
      </c>
      <c r="AP50" s="2" t="s">
        <v>1825</v>
      </c>
      <c r="AQ50" s="2" t="s">
        <v>1826</v>
      </c>
      <c r="AR50" s="2" t="s">
        <v>1827</v>
      </c>
      <c r="AS50" s="2" t="s">
        <v>1549</v>
      </c>
      <c r="AT50" s="2" t="s">
        <v>1828</v>
      </c>
      <c r="AU50" s="2" t="s">
        <v>1829</v>
      </c>
      <c r="AV50" s="2" t="s">
        <v>1830</v>
      </c>
      <c r="AW50" s="2" t="s">
        <v>1831</v>
      </c>
      <c r="AX50" s="2" t="s">
        <v>1832</v>
      </c>
      <c r="AY50" s="2" t="s">
        <v>1833</v>
      </c>
      <c r="AZ50" s="2" t="s">
        <v>1117</v>
      </c>
      <c r="BA50" s="2" t="s">
        <v>1118</v>
      </c>
      <c r="BB50" s="2" t="s">
        <v>1269</v>
      </c>
      <c r="BC50" s="2" t="s">
        <v>1270</v>
      </c>
      <c r="BD50" s="2" t="s">
        <v>1834</v>
      </c>
      <c r="BE50" s="2" t="s">
        <v>1835</v>
      </c>
      <c r="BF50" s="2" t="s">
        <v>1836</v>
      </c>
      <c r="BG50" s="2" t="s">
        <v>1837</v>
      </c>
      <c r="BH50" s="2" t="s">
        <v>1838</v>
      </c>
      <c r="BI50" s="2" t="s">
        <v>1839</v>
      </c>
      <c r="BJ50" s="2" t="s">
        <v>1840</v>
      </c>
      <c r="BK50" s="2" t="s">
        <v>1841</v>
      </c>
      <c r="BL50" s="2" t="s">
        <v>1509</v>
      </c>
      <c r="BM50" s="2" t="s">
        <v>1510</v>
      </c>
      <c r="BN50" s="2" t="s">
        <v>1842</v>
      </c>
      <c r="BO50" s="2" t="s">
        <v>1843</v>
      </c>
      <c r="BP50" s="2" t="s">
        <v>1844</v>
      </c>
      <c r="BQ50" s="2" t="s">
        <v>1845</v>
      </c>
    </row>
    <row r="51" spans="1:69" x14ac:dyDescent="0.35">
      <c r="A51" s="2">
        <v>50</v>
      </c>
      <c r="B51" s="2" t="s">
        <v>2062</v>
      </c>
      <c r="C51" s="3">
        <v>37069</v>
      </c>
      <c r="D51" s="3">
        <v>1252255838</v>
      </c>
      <c r="E51" s="2">
        <v>21521762777</v>
      </c>
      <c r="F51" s="4">
        <v>848876123802</v>
      </c>
      <c r="G51" s="17" t="s">
        <v>73</v>
      </c>
      <c r="H51" s="17" t="s">
        <v>73</v>
      </c>
      <c r="I51" s="17" t="s">
        <v>32</v>
      </c>
      <c r="J51" s="11" t="s">
        <v>406</v>
      </c>
      <c r="K51" s="6" t="s">
        <v>315</v>
      </c>
      <c r="L51" s="6" t="s">
        <v>316</v>
      </c>
      <c r="M51" s="7" t="s">
        <v>265</v>
      </c>
      <c r="N51" s="8" t="s">
        <v>317</v>
      </c>
      <c r="O51" s="8" t="s">
        <v>25</v>
      </c>
      <c r="P51" s="3" t="s">
        <v>26</v>
      </c>
      <c r="Q51" s="13" t="s">
        <v>318</v>
      </c>
      <c r="R51" s="37">
        <v>8858162324</v>
      </c>
      <c r="S51" s="9" t="s">
        <v>319</v>
      </c>
      <c r="T51" s="44" t="s">
        <v>411</v>
      </c>
      <c r="U51" s="62" t="s">
        <v>429</v>
      </c>
      <c r="V51" s="79" t="s">
        <v>430</v>
      </c>
      <c r="W51" s="2">
        <v>22</v>
      </c>
      <c r="X51" s="2">
        <f t="shared" si="0"/>
        <v>95.652173913043484</v>
      </c>
      <c r="Y51" s="2">
        <v>15</v>
      </c>
      <c r="Z51" s="2">
        <f t="shared" si="1"/>
        <v>37</v>
      </c>
      <c r="AA51" s="2">
        <f t="shared" si="2"/>
        <v>94.871794871794862</v>
      </c>
      <c r="AB51" s="2">
        <v>18</v>
      </c>
      <c r="AC51" s="2">
        <f t="shared" si="3"/>
        <v>55</v>
      </c>
      <c r="AD51" s="2">
        <f t="shared" si="4"/>
        <v>84.615384615384613</v>
      </c>
      <c r="AE51" s="2">
        <v>17</v>
      </c>
      <c r="AF51" s="2">
        <f t="shared" si="5"/>
        <v>72</v>
      </c>
      <c r="AG51" s="2">
        <f t="shared" si="6"/>
        <v>82.758620689655174</v>
      </c>
      <c r="AH51" s="2">
        <v>16</v>
      </c>
      <c r="AI51" s="2">
        <v>5</v>
      </c>
      <c r="AJ51" s="2">
        <v>9</v>
      </c>
      <c r="AK51" s="2">
        <v>5</v>
      </c>
      <c r="AL51" s="2">
        <v>12</v>
      </c>
      <c r="AM51" s="2">
        <f t="shared" si="7"/>
        <v>47</v>
      </c>
      <c r="AN51" s="2" t="s">
        <v>479</v>
      </c>
      <c r="AO51" s="2" t="s">
        <v>1846</v>
      </c>
      <c r="AP51" s="2" t="s">
        <v>1847</v>
      </c>
      <c r="AQ51" s="2" t="s">
        <v>1848</v>
      </c>
      <c r="AR51" s="2" t="s">
        <v>1849</v>
      </c>
      <c r="AS51" s="2" t="s">
        <v>783</v>
      </c>
      <c r="AT51" s="2" t="s">
        <v>1850</v>
      </c>
      <c r="AU51" s="2" t="s">
        <v>1851</v>
      </c>
      <c r="AV51" s="2" t="s">
        <v>1852</v>
      </c>
      <c r="AW51" s="2" t="s">
        <v>1264</v>
      </c>
      <c r="AX51" s="2" t="s">
        <v>1853</v>
      </c>
      <c r="AY51" s="2" t="s">
        <v>1854</v>
      </c>
      <c r="AZ51" s="2" t="s">
        <v>1855</v>
      </c>
      <c r="BA51" s="2" t="s">
        <v>791</v>
      </c>
      <c r="BB51" s="2" t="s">
        <v>1856</v>
      </c>
      <c r="BC51" s="2" t="s">
        <v>793</v>
      </c>
      <c r="BD51" s="2" t="s">
        <v>1857</v>
      </c>
      <c r="BE51" s="2" t="s">
        <v>795</v>
      </c>
      <c r="BF51" s="2" t="s">
        <v>1858</v>
      </c>
      <c r="BG51" s="2" t="s">
        <v>797</v>
      </c>
      <c r="BH51" s="2" t="s">
        <v>1859</v>
      </c>
      <c r="BI51" s="2" t="s">
        <v>799</v>
      </c>
      <c r="BJ51" s="2" t="s">
        <v>1860</v>
      </c>
      <c r="BK51" s="2" t="s">
        <v>801</v>
      </c>
      <c r="BL51" s="2" t="s">
        <v>802</v>
      </c>
      <c r="BM51" s="2" t="s">
        <v>803</v>
      </c>
      <c r="BN51" s="2" t="s">
        <v>1861</v>
      </c>
      <c r="BO51" s="2" t="s">
        <v>805</v>
      </c>
      <c r="BP51" s="2" t="s">
        <v>1862</v>
      </c>
      <c r="BQ51" s="2" t="s">
        <v>807</v>
      </c>
    </row>
    <row r="52" spans="1:69" x14ac:dyDescent="0.35">
      <c r="A52" s="2">
        <v>51</v>
      </c>
      <c r="B52" s="2" t="s">
        <v>2062</v>
      </c>
      <c r="C52" s="3">
        <v>37068</v>
      </c>
      <c r="D52" s="3">
        <v>1252255857</v>
      </c>
      <c r="E52" s="2">
        <v>21297929595</v>
      </c>
      <c r="F52" s="4">
        <v>815950656664</v>
      </c>
      <c r="G52" s="8" t="s">
        <v>300</v>
      </c>
      <c r="H52" s="8" t="s">
        <v>42</v>
      </c>
      <c r="I52" s="8" t="s">
        <v>19</v>
      </c>
      <c r="J52" s="20" t="s">
        <v>333</v>
      </c>
      <c r="K52" s="8" t="s">
        <v>334</v>
      </c>
      <c r="L52" s="8" t="s">
        <v>335</v>
      </c>
      <c r="M52" s="7" t="s">
        <v>265</v>
      </c>
      <c r="N52" s="8" t="s">
        <v>175</v>
      </c>
      <c r="O52" s="38" t="s">
        <v>47</v>
      </c>
      <c r="P52" s="3" t="s">
        <v>26</v>
      </c>
      <c r="Q52" s="8" t="s">
        <v>336</v>
      </c>
      <c r="R52" s="7">
        <v>8303916454</v>
      </c>
      <c r="S52" s="35" t="s">
        <v>337</v>
      </c>
      <c r="T52" s="44" t="s">
        <v>411</v>
      </c>
      <c r="U52" s="49" t="s">
        <v>431</v>
      </c>
      <c r="V52" s="79" t="s">
        <v>417</v>
      </c>
      <c r="W52" s="2">
        <v>17</v>
      </c>
      <c r="X52" s="2">
        <f t="shared" si="0"/>
        <v>73.91304347826086</v>
      </c>
      <c r="Y52" s="2">
        <v>10</v>
      </c>
      <c r="Z52" s="2">
        <f t="shared" si="1"/>
        <v>27</v>
      </c>
      <c r="AA52" s="2">
        <f t="shared" si="2"/>
        <v>69.230769230769226</v>
      </c>
      <c r="AB52" s="2">
        <v>21</v>
      </c>
      <c r="AC52" s="2">
        <f t="shared" si="3"/>
        <v>48</v>
      </c>
      <c r="AD52" s="2">
        <f t="shared" si="4"/>
        <v>73.846153846153854</v>
      </c>
      <c r="AE52" s="2">
        <v>18</v>
      </c>
      <c r="AF52" s="2">
        <f t="shared" si="5"/>
        <v>66</v>
      </c>
      <c r="AG52" s="2">
        <f t="shared" si="6"/>
        <v>75.862068965517238</v>
      </c>
      <c r="AH52" s="2">
        <v>16</v>
      </c>
      <c r="AI52" s="2">
        <v>7</v>
      </c>
      <c r="AJ52" s="2">
        <v>16</v>
      </c>
      <c r="AK52" s="2">
        <v>0</v>
      </c>
      <c r="AL52" s="2">
        <v>7</v>
      </c>
      <c r="AM52" s="2">
        <f t="shared" si="7"/>
        <v>46</v>
      </c>
      <c r="AN52" s="2" t="s">
        <v>688</v>
      </c>
      <c r="AO52" s="2" t="s">
        <v>1863</v>
      </c>
      <c r="AP52" s="2" t="s">
        <v>1864</v>
      </c>
      <c r="AQ52" s="2" t="s">
        <v>1865</v>
      </c>
      <c r="AR52" s="2" t="s">
        <v>1866</v>
      </c>
      <c r="AS52" s="2" t="s">
        <v>1867</v>
      </c>
      <c r="AT52" s="2" t="s">
        <v>1868</v>
      </c>
      <c r="AU52" s="2" t="s">
        <v>1869</v>
      </c>
      <c r="AV52" s="2" t="s">
        <v>1870</v>
      </c>
      <c r="AW52" s="2" t="s">
        <v>1871</v>
      </c>
      <c r="AX52" s="2" t="s">
        <v>1872</v>
      </c>
      <c r="AY52" s="2" t="s">
        <v>1873</v>
      </c>
      <c r="AZ52" s="2" t="s">
        <v>1874</v>
      </c>
      <c r="BA52" s="2" t="s">
        <v>1875</v>
      </c>
      <c r="BB52" s="2" t="s">
        <v>1269</v>
      </c>
      <c r="BC52" s="2" t="s">
        <v>1270</v>
      </c>
      <c r="BD52" s="2" t="s">
        <v>1876</v>
      </c>
      <c r="BE52" s="2" t="s">
        <v>1877</v>
      </c>
      <c r="BF52" s="2" t="s">
        <v>1878</v>
      </c>
      <c r="BG52" s="2" t="s">
        <v>1879</v>
      </c>
      <c r="BH52" s="2" t="s">
        <v>1880</v>
      </c>
      <c r="BI52" s="2" t="s">
        <v>1881</v>
      </c>
      <c r="BJ52" s="2" t="s">
        <v>1706</v>
      </c>
      <c r="BK52" s="2" t="s">
        <v>1707</v>
      </c>
      <c r="BL52" s="2" t="s">
        <v>1467</v>
      </c>
      <c r="BM52" s="2" t="s">
        <v>1709</v>
      </c>
      <c r="BN52" s="2" t="s">
        <v>1710</v>
      </c>
      <c r="BO52" s="2" t="s">
        <v>1711</v>
      </c>
      <c r="BP52" s="2" t="s">
        <v>1283</v>
      </c>
      <c r="BQ52" s="2" t="s">
        <v>1284</v>
      </c>
    </row>
    <row r="53" spans="1:69" x14ac:dyDescent="0.35">
      <c r="A53" s="2">
        <v>52</v>
      </c>
      <c r="B53" s="2" t="s">
        <v>2062</v>
      </c>
      <c r="C53" s="41">
        <v>40144</v>
      </c>
      <c r="D53" s="41">
        <v>1252266896</v>
      </c>
      <c r="E53" s="2">
        <v>21359799341</v>
      </c>
      <c r="F53" s="4">
        <v>717371580770</v>
      </c>
      <c r="G53" s="8">
        <v>1</v>
      </c>
      <c r="H53" s="8">
        <v>1</v>
      </c>
      <c r="I53" s="8">
        <v>2011</v>
      </c>
      <c r="J53" s="2" t="s">
        <v>396</v>
      </c>
      <c r="K53" s="2" t="s">
        <v>397</v>
      </c>
      <c r="L53" s="2" t="s">
        <v>398</v>
      </c>
      <c r="M53" s="41" t="s">
        <v>265</v>
      </c>
      <c r="N53" s="2" t="s">
        <v>24</v>
      </c>
      <c r="O53" s="2" t="s">
        <v>25</v>
      </c>
      <c r="P53" s="42" t="s">
        <v>26</v>
      </c>
      <c r="Q53" s="2" t="s">
        <v>399</v>
      </c>
      <c r="R53" s="41">
        <v>8858775589</v>
      </c>
      <c r="S53" s="2" t="s">
        <v>400</v>
      </c>
      <c r="T53" s="44" t="s">
        <v>410</v>
      </c>
      <c r="U53" s="52"/>
      <c r="V53" s="79"/>
      <c r="W53" s="2">
        <v>20</v>
      </c>
      <c r="X53" s="2">
        <f t="shared" si="0"/>
        <v>86.956521739130437</v>
      </c>
      <c r="Y53" s="2">
        <v>10</v>
      </c>
      <c r="Z53" s="2">
        <f t="shared" si="1"/>
        <v>30</v>
      </c>
      <c r="AA53" s="2">
        <f t="shared" si="2"/>
        <v>76.923076923076934</v>
      </c>
      <c r="AB53" s="2">
        <v>19</v>
      </c>
      <c r="AC53" s="2">
        <f t="shared" si="3"/>
        <v>49</v>
      </c>
      <c r="AD53" s="2">
        <f t="shared" si="4"/>
        <v>75.384615384615387</v>
      </c>
      <c r="AE53" s="2">
        <v>18</v>
      </c>
      <c r="AF53" s="2">
        <f t="shared" si="5"/>
        <v>67</v>
      </c>
      <c r="AG53" s="2">
        <f t="shared" si="6"/>
        <v>77.011494252873561</v>
      </c>
      <c r="AH53" s="2">
        <v>6</v>
      </c>
      <c r="AI53" s="2">
        <v>0</v>
      </c>
      <c r="AJ53" s="2">
        <v>0</v>
      </c>
      <c r="AK53" s="2">
        <v>2</v>
      </c>
      <c r="AL53" s="2">
        <v>0</v>
      </c>
      <c r="AM53" s="2">
        <f t="shared" si="7"/>
        <v>8</v>
      </c>
      <c r="AN53" s="2" t="s">
        <v>1882</v>
      </c>
      <c r="AO53" s="2" t="s">
        <v>1196</v>
      </c>
      <c r="AP53" s="2" t="s">
        <v>1883</v>
      </c>
      <c r="AQ53" s="2" t="s">
        <v>1884</v>
      </c>
      <c r="AR53" s="2" t="s">
        <v>1716</v>
      </c>
      <c r="AS53" s="2" t="s">
        <v>1717</v>
      </c>
      <c r="AT53" s="2" t="s">
        <v>1691</v>
      </c>
      <c r="AU53" s="2" t="s">
        <v>1692</v>
      </c>
      <c r="AV53" s="2" t="s">
        <v>1885</v>
      </c>
      <c r="AW53" s="2" t="s">
        <v>1666</v>
      </c>
      <c r="AX53" s="2" t="s">
        <v>1719</v>
      </c>
      <c r="AY53" s="2" t="s">
        <v>1206</v>
      </c>
      <c r="AZ53" s="2" t="s">
        <v>1720</v>
      </c>
      <c r="BA53" s="2" t="s">
        <v>1208</v>
      </c>
      <c r="BB53" s="2" t="s">
        <v>1269</v>
      </c>
      <c r="BC53" s="2" t="s">
        <v>1270</v>
      </c>
      <c r="BD53" s="2" t="s">
        <v>1886</v>
      </c>
      <c r="BE53" s="2" t="s">
        <v>1887</v>
      </c>
      <c r="BF53" s="2" t="s">
        <v>1723</v>
      </c>
      <c r="BG53" s="2" t="s">
        <v>1724</v>
      </c>
      <c r="BH53" s="2" t="s">
        <v>1725</v>
      </c>
      <c r="BI53" s="2" t="s">
        <v>1216</v>
      </c>
      <c r="BJ53" s="2" t="s">
        <v>1217</v>
      </c>
      <c r="BK53" s="2" t="s">
        <v>1218</v>
      </c>
      <c r="BL53" s="2" t="s">
        <v>1219</v>
      </c>
      <c r="BM53" s="2" t="s">
        <v>1220</v>
      </c>
      <c r="BN53" s="2" t="s">
        <v>1710</v>
      </c>
      <c r="BO53" s="2" t="s">
        <v>1711</v>
      </c>
      <c r="BP53" s="2" t="s">
        <v>1283</v>
      </c>
      <c r="BQ53" s="2" t="s">
        <v>1284</v>
      </c>
    </row>
    <row r="54" spans="1:69" x14ac:dyDescent="0.35">
      <c r="A54" s="2">
        <v>53</v>
      </c>
      <c r="B54" s="2" t="s">
        <v>2062</v>
      </c>
      <c r="C54" s="3">
        <v>37292</v>
      </c>
      <c r="D54" s="3">
        <v>1252255872</v>
      </c>
      <c r="E54" s="2">
        <v>21701866637</v>
      </c>
      <c r="F54" s="10">
        <v>631002422713</v>
      </c>
      <c r="G54" s="17" t="s">
        <v>134</v>
      </c>
      <c r="H54" s="17" t="s">
        <v>89</v>
      </c>
      <c r="I54" s="17" t="s">
        <v>32</v>
      </c>
      <c r="J54" s="8" t="s">
        <v>338</v>
      </c>
      <c r="K54" s="8" t="s">
        <v>339</v>
      </c>
      <c r="L54" s="8" t="s">
        <v>340</v>
      </c>
      <c r="M54" s="7" t="s">
        <v>265</v>
      </c>
      <c r="N54" s="8" t="s">
        <v>341</v>
      </c>
      <c r="O54" s="38" t="s">
        <v>25</v>
      </c>
      <c r="P54" s="3" t="s">
        <v>26</v>
      </c>
      <c r="Q54" s="8" t="s">
        <v>342</v>
      </c>
      <c r="R54" s="7">
        <v>7905616124</v>
      </c>
      <c r="S54" s="12" t="s">
        <v>343</v>
      </c>
      <c r="T54" s="44" t="s">
        <v>410</v>
      </c>
      <c r="U54" s="52"/>
      <c r="V54" s="79"/>
      <c r="W54" s="2">
        <v>21</v>
      </c>
      <c r="X54" s="2">
        <f t="shared" si="0"/>
        <v>91.304347826086953</v>
      </c>
      <c r="Y54" s="2">
        <v>11</v>
      </c>
      <c r="Z54" s="2">
        <f t="shared" si="1"/>
        <v>32</v>
      </c>
      <c r="AA54" s="2">
        <f t="shared" si="2"/>
        <v>82.051282051282044</v>
      </c>
      <c r="AB54" s="2">
        <v>17</v>
      </c>
      <c r="AC54" s="2">
        <f t="shared" si="3"/>
        <v>49</v>
      </c>
      <c r="AD54" s="2">
        <f t="shared" si="4"/>
        <v>75.384615384615387</v>
      </c>
      <c r="AE54" s="2">
        <v>18</v>
      </c>
      <c r="AF54" s="2">
        <f t="shared" si="5"/>
        <v>67</v>
      </c>
      <c r="AG54" s="2">
        <f t="shared" si="6"/>
        <v>77.011494252873561</v>
      </c>
      <c r="AH54" s="2">
        <v>11</v>
      </c>
      <c r="AI54" s="2">
        <v>0</v>
      </c>
      <c r="AJ54" s="2">
        <v>15</v>
      </c>
      <c r="AK54" s="2">
        <v>13</v>
      </c>
      <c r="AL54" s="2">
        <v>0</v>
      </c>
      <c r="AM54" s="2">
        <f t="shared" si="7"/>
        <v>39</v>
      </c>
      <c r="AN54" s="2" t="s">
        <v>1888</v>
      </c>
      <c r="AO54" s="2" t="s">
        <v>1889</v>
      </c>
      <c r="AP54" s="2" t="s">
        <v>1890</v>
      </c>
      <c r="AQ54" s="2" t="s">
        <v>1891</v>
      </c>
      <c r="AR54" s="2" t="s">
        <v>1892</v>
      </c>
      <c r="AS54" s="2" t="s">
        <v>1893</v>
      </c>
      <c r="AT54" s="2" t="s">
        <v>1894</v>
      </c>
      <c r="AU54" s="2" t="s">
        <v>1895</v>
      </c>
      <c r="AV54" s="2" t="s">
        <v>1636</v>
      </c>
      <c r="AW54" s="2" t="s">
        <v>1896</v>
      </c>
      <c r="AX54" s="2" t="s">
        <v>1897</v>
      </c>
      <c r="AY54" s="2" t="s">
        <v>1898</v>
      </c>
      <c r="AZ54" s="2" t="s">
        <v>1899</v>
      </c>
      <c r="BA54" s="2" t="s">
        <v>1900</v>
      </c>
      <c r="BB54" s="2" t="s">
        <v>1901</v>
      </c>
      <c r="BC54" s="2" t="s">
        <v>1902</v>
      </c>
      <c r="BD54" s="2" t="s">
        <v>1903</v>
      </c>
      <c r="BE54" s="2" t="s">
        <v>1904</v>
      </c>
      <c r="BF54" s="2" t="s">
        <v>1905</v>
      </c>
      <c r="BG54" s="2" t="s">
        <v>1906</v>
      </c>
      <c r="BH54" s="2" t="s">
        <v>1907</v>
      </c>
      <c r="BI54" s="2" t="s">
        <v>1908</v>
      </c>
      <c r="BJ54" s="2" t="s">
        <v>1909</v>
      </c>
      <c r="BK54" s="2" t="s">
        <v>1910</v>
      </c>
      <c r="BL54" s="2" t="s">
        <v>1911</v>
      </c>
      <c r="BM54" s="2" t="s">
        <v>1912</v>
      </c>
      <c r="BN54" s="2" t="s">
        <v>1913</v>
      </c>
      <c r="BO54" s="2" t="s">
        <v>1914</v>
      </c>
      <c r="BP54" s="2" t="s">
        <v>1915</v>
      </c>
      <c r="BQ54" s="2" t="s">
        <v>1916</v>
      </c>
    </row>
    <row r="55" spans="1:69" x14ac:dyDescent="0.35">
      <c r="A55" s="2">
        <v>54</v>
      </c>
      <c r="B55" s="2" t="s">
        <v>2062</v>
      </c>
      <c r="C55" s="3">
        <v>38284</v>
      </c>
      <c r="D55" s="3">
        <v>1252255880</v>
      </c>
      <c r="E55" s="2">
        <v>21469764215</v>
      </c>
      <c r="F55" s="4" t="s">
        <v>344</v>
      </c>
      <c r="G55" s="8" t="s">
        <v>119</v>
      </c>
      <c r="H55" s="8" t="s">
        <v>73</v>
      </c>
      <c r="I55" s="8" t="s">
        <v>32</v>
      </c>
      <c r="J55" s="8" t="s">
        <v>345</v>
      </c>
      <c r="K55" s="8" t="s">
        <v>225</v>
      </c>
      <c r="L55" s="8" t="s">
        <v>346</v>
      </c>
      <c r="M55" s="7" t="s">
        <v>265</v>
      </c>
      <c r="N55" s="8" t="s">
        <v>144</v>
      </c>
      <c r="O55" s="38" t="s">
        <v>25</v>
      </c>
      <c r="P55" s="3" t="s">
        <v>26</v>
      </c>
      <c r="Q55" s="8" t="s">
        <v>347</v>
      </c>
      <c r="R55" s="7">
        <v>9956993503</v>
      </c>
      <c r="S55" s="35" t="s">
        <v>348</v>
      </c>
      <c r="T55" s="44" t="s">
        <v>410</v>
      </c>
      <c r="U55" s="52"/>
      <c r="V55" s="79"/>
      <c r="W55" s="2">
        <v>22</v>
      </c>
      <c r="X55" s="2">
        <f t="shared" si="0"/>
        <v>95.652173913043484</v>
      </c>
      <c r="Y55" s="2">
        <v>13</v>
      </c>
      <c r="Z55" s="2">
        <f t="shared" si="1"/>
        <v>35</v>
      </c>
      <c r="AA55" s="2">
        <f t="shared" si="2"/>
        <v>89.743589743589752</v>
      </c>
      <c r="AB55" s="2">
        <v>21</v>
      </c>
      <c r="AC55" s="2">
        <f t="shared" si="3"/>
        <v>56</v>
      </c>
      <c r="AD55" s="2">
        <f t="shared" si="4"/>
        <v>86.15384615384616</v>
      </c>
      <c r="AE55" s="2">
        <v>18</v>
      </c>
      <c r="AF55" s="2">
        <f t="shared" si="5"/>
        <v>74</v>
      </c>
      <c r="AG55" s="2">
        <f t="shared" si="6"/>
        <v>85.057471264367805</v>
      </c>
      <c r="AH55" s="2">
        <v>4</v>
      </c>
      <c r="AI55" s="2">
        <v>4</v>
      </c>
      <c r="AJ55" s="2">
        <v>0</v>
      </c>
      <c r="AK55" s="2">
        <v>0</v>
      </c>
      <c r="AL55" s="2">
        <v>0</v>
      </c>
      <c r="AM55" s="2">
        <f t="shared" si="7"/>
        <v>8</v>
      </c>
      <c r="AN55" s="2" t="s">
        <v>808</v>
      </c>
      <c r="AO55" s="2" t="s">
        <v>1917</v>
      </c>
      <c r="AP55" s="2" t="s">
        <v>1918</v>
      </c>
      <c r="AQ55" s="2" t="s">
        <v>1919</v>
      </c>
      <c r="AR55" s="2" t="s">
        <v>1920</v>
      </c>
      <c r="AS55" s="2" t="s">
        <v>1921</v>
      </c>
      <c r="AT55" s="2" t="s">
        <v>1922</v>
      </c>
      <c r="AU55" s="2" t="s">
        <v>1923</v>
      </c>
      <c r="AV55" s="2" t="s">
        <v>1885</v>
      </c>
      <c r="AW55" s="2" t="s">
        <v>1666</v>
      </c>
      <c r="AX55" s="2" t="s">
        <v>1719</v>
      </c>
      <c r="AY55" s="2" t="s">
        <v>1206</v>
      </c>
      <c r="AZ55" s="2" t="s">
        <v>1720</v>
      </c>
      <c r="BA55" s="2" t="s">
        <v>1208</v>
      </c>
      <c r="BB55" s="2" t="s">
        <v>1269</v>
      </c>
      <c r="BC55" s="2" t="s">
        <v>1270</v>
      </c>
      <c r="BD55" s="2" t="s">
        <v>1924</v>
      </c>
      <c r="BE55" s="2" t="s">
        <v>1925</v>
      </c>
      <c r="BF55" s="2" t="s">
        <v>1723</v>
      </c>
      <c r="BG55" s="2" t="s">
        <v>1724</v>
      </c>
      <c r="BH55" s="2" t="s">
        <v>1725</v>
      </c>
      <c r="BI55" s="2" t="s">
        <v>1216</v>
      </c>
      <c r="BJ55" s="2" t="s">
        <v>1217</v>
      </c>
      <c r="BK55" s="2" t="s">
        <v>1218</v>
      </c>
      <c r="BL55" s="2" t="s">
        <v>1219</v>
      </c>
      <c r="BM55" s="2" t="s">
        <v>1220</v>
      </c>
      <c r="BN55" s="2" t="s">
        <v>1926</v>
      </c>
      <c r="BO55" s="2" t="s">
        <v>1927</v>
      </c>
      <c r="BP55" s="2" t="s">
        <v>1928</v>
      </c>
      <c r="BQ55" s="2" t="s">
        <v>1929</v>
      </c>
    </row>
    <row r="56" spans="1:69" x14ac:dyDescent="0.35">
      <c r="A56" s="2">
        <v>55</v>
      </c>
      <c r="B56" s="2" t="s">
        <v>2062</v>
      </c>
      <c r="C56" s="3">
        <v>37143</v>
      </c>
      <c r="D56" s="3">
        <v>1252255905</v>
      </c>
      <c r="E56" s="2">
        <v>21479920887</v>
      </c>
      <c r="F56" s="4">
        <v>518610114074</v>
      </c>
      <c r="G56" s="8" t="s">
        <v>18</v>
      </c>
      <c r="H56" s="8" t="s">
        <v>65</v>
      </c>
      <c r="I56" s="8" t="s">
        <v>32</v>
      </c>
      <c r="J56" s="20" t="s">
        <v>349</v>
      </c>
      <c r="K56" s="8" t="s">
        <v>350</v>
      </c>
      <c r="L56" s="8" t="s">
        <v>351</v>
      </c>
      <c r="M56" s="7" t="s">
        <v>265</v>
      </c>
      <c r="N56" s="8" t="s">
        <v>352</v>
      </c>
      <c r="O56" s="38" t="s">
        <v>47</v>
      </c>
      <c r="P56" s="3" t="s">
        <v>26</v>
      </c>
      <c r="Q56" s="8" t="s">
        <v>353</v>
      </c>
      <c r="R56" s="7">
        <v>8707559822</v>
      </c>
      <c r="S56" s="9" t="s">
        <v>354</v>
      </c>
      <c r="T56" s="44" t="s">
        <v>411</v>
      </c>
      <c r="U56" s="49" t="s">
        <v>432</v>
      </c>
      <c r="V56" s="79" t="s">
        <v>423</v>
      </c>
      <c r="W56" s="2">
        <v>21</v>
      </c>
      <c r="X56" s="2">
        <f t="shared" si="0"/>
        <v>91.304347826086953</v>
      </c>
      <c r="Y56" s="2">
        <v>12</v>
      </c>
      <c r="Z56" s="2">
        <f t="shared" si="1"/>
        <v>33</v>
      </c>
      <c r="AA56" s="2">
        <f t="shared" si="2"/>
        <v>84.615384615384613</v>
      </c>
      <c r="AB56" s="2">
        <v>20</v>
      </c>
      <c r="AC56" s="2">
        <f t="shared" si="3"/>
        <v>53</v>
      </c>
      <c r="AD56" s="2">
        <f t="shared" si="4"/>
        <v>81.538461538461533</v>
      </c>
      <c r="AE56" s="2">
        <v>16</v>
      </c>
      <c r="AF56" s="2">
        <f t="shared" si="5"/>
        <v>69</v>
      </c>
      <c r="AG56" s="2">
        <f t="shared" si="6"/>
        <v>79.310344827586206</v>
      </c>
      <c r="AH56" s="2">
        <v>12</v>
      </c>
      <c r="AI56" s="2">
        <v>9</v>
      </c>
      <c r="AJ56" s="2">
        <v>11</v>
      </c>
      <c r="AK56" s="2">
        <v>7</v>
      </c>
      <c r="AL56" s="2">
        <v>13</v>
      </c>
      <c r="AM56" s="2">
        <f t="shared" si="7"/>
        <v>52</v>
      </c>
      <c r="AN56" s="2" t="s">
        <v>1628</v>
      </c>
      <c r="AO56" s="2" t="s">
        <v>1136</v>
      </c>
      <c r="AP56" s="2" t="s">
        <v>1930</v>
      </c>
      <c r="AQ56" s="2" t="s">
        <v>1810</v>
      </c>
      <c r="AR56" s="2" t="s">
        <v>1716</v>
      </c>
      <c r="AS56" s="2" t="s">
        <v>1717</v>
      </c>
      <c r="AT56" s="2" t="s">
        <v>1691</v>
      </c>
      <c r="AU56" s="2" t="s">
        <v>1692</v>
      </c>
      <c r="AV56" s="2" t="s">
        <v>1931</v>
      </c>
      <c r="AW56" s="2" t="s">
        <v>1932</v>
      </c>
      <c r="AX56" s="2" t="s">
        <v>1933</v>
      </c>
      <c r="AY56" s="2" t="s">
        <v>1934</v>
      </c>
      <c r="AZ56" s="2" t="s">
        <v>1935</v>
      </c>
      <c r="BA56" s="2" t="s">
        <v>1936</v>
      </c>
      <c r="BB56" s="2" t="s">
        <v>1269</v>
      </c>
      <c r="BC56" s="2" t="s">
        <v>1270</v>
      </c>
      <c r="BD56" s="2" t="s">
        <v>1937</v>
      </c>
      <c r="BE56" s="2" t="s">
        <v>1938</v>
      </c>
      <c r="BF56" s="2" t="s">
        <v>1939</v>
      </c>
      <c r="BG56" s="2" t="s">
        <v>1940</v>
      </c>
      <c r="BH56" s="2" t="s">
        <v>1941</v>
      </c>
      <c r="BI56" s="2" t="s">
        <v>1942</v>
      </c>
      <c r="BJ56" s="2" t="s">
        <v>1706</v>
      </c>
      <c r="BK56" s="2" t="s">
        <v>1707</v>
      </c>
      <c r="BL56" s="2" t="s">
        <v>1467</v>
      </c>
      <c r="BM56" s="2" t="s">
        <v>1709</v>
      </c>
      <c r="BN56" s="2" t="s">
        <v>1710</v>
      </c>
      <c r="BO56" s="2" t="s">
        <v>1711</v>
      </c>
      <c r="BP56" s="2" t="s">
        <v>1943</v>
      </c>
      <c r="BQ56" s="2" t="s">
        <v>1944</v>
      </c>
    </row>
    <row r="57" spans="1:69" x14ac:dyDescent="0.35">
      <c r="A57" s="2">
        <v>56</v>
      </c>
      <c r="B57" s="2" t="s">
        <v>2062</v>
      </c>
      <c r="C57" s="3">
        <v>38991</v>
      </c>
      <c r="D57" s="3">
        <v>1252255914</v>
      </c>
      <c r="E57" s="2">
        <v>21290492041</v>
      </c>
      <c r="F57" s="4">
        <v>495086044404</v>
      </c>
      <c r="G57" s="8" t="s">
        <v>113</v>
      </c>
      <c r="H57" s="8" t="s">
        <v>81</v>
      </c>
      <c r="I57" s="8" t="s">
        <v>32</v>
      </c>
      <c r="J57" s="8" t="s">
        <v>355</v>
      </c>
      <c r="K57" s="8" t="s">
        <v>356</v>
      </c>
      <c r="L57" s="8" t="s">
        <v>239</v>
      </c>
      <c r="M57" s="7" t="s">
        <v>265</v>
      </c>
      <c r="N57" s="8" t="s">
        <v>24</v>
      </c>
      <c r="O57" s="38" t="s">
        <v>25</v>
      </c>
      <c r="P57" s="3" t="s">
        <v>26</v>
      </c>
      <c r="Q57" s="8" t="s">
        <v>357</v>
      </c>
      <c r="R57" s="7">
        <v>7307407965</v>
      </c>
      <c r="S57" s="33" t="s">
        <v>358</v>
      </c>
      <c r="T57" s="44" t="s">
        <v>410</v>
      </c>
      <c r="U57" s="52"/>
      <c r="V57" s="79"/>
      <c r="W57" s="2">
        <v>20</v>
      </c>
      <c r="X57" s="2">
        <f t="shared" si="0"/>
        <v>86.956521739130437</v>
      </c>
      <c r="Y57" s="2">
        <v>12</v>
      </c>
      <c r="Z57" s="2">
        <f t="shared" si="1"/>
        <v>32</v>
      </c>
      <c r="AA57" s="2">
        <f t="shared" si="2"/>
        <v>82.051282051282044</v>
      </c>
      <c r="AB57" s="2">
        <v>22</v>
      </c>
      <c r="AC57" s="2">
        <f t="shared" si="3"/>
        <v>54</v>
      </c>
      <c r="AD57" s="2">
        <f t="shared" si="4"/>
        <v>83.07692307692308</v>
      </c>
      <c r="AE57" s="2">
        <v>18</v>
      </c>
      <c r="AF57" s="2">
        <f t="shared" si="5"/>
        <v>72</v>
      </c>
      <c r="AG57" s="2">
        <f t="shared" si="6"/>
        <v>82.758620689655174</v>
      </c>
      <c r="AH57" s="2">
        <v>18</v>
      </c>
      <c r="AI57" s="2">
        <v>6</v>
      </c>
      <c r="AJ57" s="2">
        <v>6</v>
      </c>
      <c r="AK57" s="2">
        <v>4</v>
      </c>
      <c r="AL57" s="2">
        <v>4</v>
      </c>
      <c r="AM57" s="2">
        <f t="shared" si="7"/>
        <v>38</v>
      </c>
      <c r="AN57" s="2" t="s">
        <v>808</v>
      </c>
      <c r="AO57" s="2" t="s">
        <v>1945</v>
      </c>
      <c r="AP57" s="2" t="s">
        <v>1946</v>
      </c>
      <c r="AQ57" s="2" t="s">
        <v>1947</v>
      </c>
      <c r="AR57" s="2" t="s">
        <v>1948</v>
      </c>
      <c r="AS57" s="2" t="s">
        <v>1949</v>
      </c>
      <c r="AT57" s="2" t="s">
        <v>1691</v>
      </c>
      <c r="AU57" s="2" t="s">
        <v>1692</v>
      </c>
      <c r="AV57" s="2" t="s">
        <v>1718</v>
      </c>
      <c r="AW57" s="2" t="s">
        <v>1666</v>
      </c>
      <c r="AX57" s="2" t="s">
        <v>1719</v>
      </c>
      <c r="AY57" s="2" t="s">
        <v>1206</v>
      </c>
      <c r="AZ57" s="2" t="s">
        <v>1720</v>
      </c>
      <c r="BA57" s="2" t="s">
        <v>1208</v>
      </c>
      <c r="BB57" s="2" t="s">
        <v>1269</v>
      </c>
      <c r="BC57" s="2" t="s">
        <v>1270</v>
      </c>
      <c r="BD57" s="2" t="s">
        <v>1950</v>
      </c>
      <c r="BE57" s="2" t="s">
        <v>1951</v>
      </c>
      <c r="BF57" s="2" t="s">
        <v>1723</v>
      </c>
      <c r="BG57" s="2" t="s">
        <v>1724</v>
      </c>
      <c r="BH57" s="2" t="s">
        <v>1725</v>
      </c>
      <c r="BI57" s="2" t="s">
        <v>1216</v>
      </c>
      <c r="BJ57" s="2" t="s">
        <v>1217</v>
      </c>
      <c r="BK57" s="2" t="s">
        <v>1218</v>
      </c>
      <c r="BL57" s="2" t="s">
        <v>1219</v>
      </c>
      <c r="BM57" s="2" t="s">
        <v>1220</v>
      </c>
      <c r="BN57" s="2" t="s">
        <v>1952</v>
      </c>
      <c r="BO57" s="2" t="s">
        <v>1953</v>
      </c>
      <c r="BP57" s="2" t="s">
        <v>1954</v>
      </c>
      <c r="BQ57" s="2" t="s">
        <v>1955</v>
      </c>
    </row>
    <row r="58" spans="1:69" x14ac:dyDescent="0.35">
      <c r="A58" s="2">
        <v>57</v>
      </c>
      <c r="B58" s="2" t="s">
        <v>2062</v>
      </c>
      <c r="C58" s="40">
        <v>37124</v>
      </c>
      <c r="D58" s="3">
        <v>1252255921</v>
      </c>
      <c r="E58" s="2">
        <v>21311994236</v>
      </c>
      <c r="F58" s="4">
        <v>925570151786</v>
      </c>
      <c r="G58" s="8" t="s">
        <v>41</v>
      </c>
      <c r="H58" s="8" t="s">
        <v>119</v>
      </c>
      <c r="I58" s="8" t="s">
        <v>32</v>
      </c>
      <c r="J58" s="20" t="s">
        <v>372</v>
      </c>
      <c r="K58" s="8" t="s">
        <v>373</v>
      </c>
      <c r="L58" s="8" t="s">
        <v>374</v>
      </c>
      <c r="M58" s="7" t="s">
        <v>265</v>
      </c>
      <c r="N58" s="8" t="s">
        <v>175</v>
      </c>
      <c r="O58" s="8" t="s">
        <v>47</v>
      </c>
      <c r="P58" s="3" t="s">
        <v>26</v>
      </c>
      <c r="Q58" s="8" t="s">
        <v>375</v>
      </c>
      <c r="R58" s="7">
        <v>8756032421</v>
      </c>
      <c r="S58" s="35" t="s">
        <v>376</v>
      </c>
      <c r="T58" s="44" t="s">
        <v>411</v>
      </c>
      <c r="U58" s="49" t="s">
        <v>433</v>
      </c>
      <c r="V58" s="79" t="s">
        <v>423</v>
      </c>
      <c r="W58" s="2">
        <v>22</v>
      </c>
      <c r="X58" s="2">
        <f t="shared" si="0"/>
        <v>95.652173913043484</v>
      </c>
      <c r="Y58" s="2">
        <v>14</v>
      </c>
      <c r="Z58" s="2">
        <f t="shared" si="1"/>
        <v>36</v>
      </c>
      <c r="AA58" s="2">
        <f t="shared" si="2"/>
        <v>92.307692307692307</v>
      </c>
      <c r="AB58" s="2">
        <v>23</v>
      </c>
      <c r="AC58" s="2">
        <f t="shared" si="3"/>
        <v>59</v>
      </c>
      <c r="AD58" s="2">
        <f t="shared" si="4"/>
        <v>90.769230769230774</v>
      </c>
      <c r="AE58" s="2">
        <v>16</v>
      </c>
      <c r="AF58" s="2">
        <f t="shared" si="5"/>
        <v>75</v>
      </c>
      <c r="AG58" s="2">
        <f t="shared" si="6"/>
        <v>86.206896551724128</v>
      </c>
      <c r="AH58" s="2">
        <v>18</v>
      </c>
      <c r="AI58" s="2">
        <v>11</v>
      </c>
      <c r="AJ58" s="2">
        <v>9</v>
      </c>
      <c r="AK58" s="2">
        <v>4</v>
      </c>
      <c r="AL58" s="2">
        <v>6</v>
      </c>
      <c r="AM58" s="2">
        <f t="shared" si="7"/>
        <v>48</v>
      </c>
      <c r="AN58" s="2" t="s">
        <v>1956</v>
      </c>
      <c r="AO58" s="2" t="s">
        <v>1957</v>
      </c>
      <c r="AP58" s="2" t="s">
        <v>1958</v>
      </c>
      <c r="AQ58" s="2" t="s">
        <v>1959</v>
      </c>
      <c r="AR58" s="2" t="s">
        <v>1734</v>
      </c>
      <c r="AS58" s="2" t="s">
        <v>1200</v>
      </c>
      <c r="AT58" s="2" t="s">
        <v>1261</v>
      </c>
      <c r="AU58" s="2" t="s">
        <v>1262</v>
      </c>
      <c r="AV58" s="2" t="s">
        <v>1263</v>
      </c>
      <c r="AW58" s="2" t="s">
        <v>1264</v>
      </c>
      <c r="AX58" s="2" t="s">
        <v>1719</v>
      </c>
      <c r="AY58" s="2" t="s">
        <v>1206</v>
      </c>
      <c r="AZ58" s="2" t="s">
        <v>1720</v>
      </c>
      <c r="BA58" s="2" t="s">
        <v>1208</v>
      </c>
      <c r="BB58" s="2" t="s">
        <v>1269</v>
      </c>
      <c r="BC58" s="2" t="s">
        <v>1270</v>
      </c>
      <c r="BD58" s="2" t="s">
        <v>1960</v>
      </c>
      <c r="BE58" s="2" t="s">
        <v>1961</v>
      </c>
      <c r="BF58" s="2" t="s">
        <v>1962</v>
      </c>
      <c r="BG58" s="2" t="s">
        <v>1963</v>
      </c>
      <c r="BH58" s="2" t="s">
        <v>1964</v>
      </c>
      <c r="BI58" s="2" t="s">
        <v>1965</v>
      </c>
      <c r="BJ58" s="2" t="s">
        <v>1966</v>
      </c>
      <c r="BK58" s="2" t="s">
        <v>1967</v>
      </c>
      <c r="BL58" s="2" t="s">
        <v>1773</v>
      </c>
      <c r="BM58" s="2" t="s">
        <v>1681</v>
      </c>
      <c r="BN58" s="2" t="s">
        <v>1968</v>
      </c>
      <c r="BO58" s="2" t="s">
        <v>1969</v>
      </c>
      <c r="BP58" s="2" t="s">
        <v>1970</v>
      </c>
      <c r="BQ58" s="2" t="s">
        <v>1971</v>
      </c>
    </row>
    <row r="59" spans="1:69" x14ac:dyDescent="0.35">
      <c r="A59" s="2">
        <v>58</v>
      </c>
      <c r="B59" s="2" t="s">
        <v>2062</v>
      </c>
      <c r="C59" s="3">
        <v>37113</v>
      </c>
      <c r="D59" s="3">
        <v>1252255924</v>
      </c>
      <c r="E59" s="2">
        <v>21628227709</v>
      </c>
      <c r="F59" s="4">
        <v>391455045476</v>
      </c>
      <c r="G59" s="8" t="s">
        <v>74</v>
      </c>
      <c r="H59" s="8" t="s">
        <v>119</v>
      </c>
      <c r="I59" s="8" t="s">
        <v>32</v>
      </c>
      <c r="J59" s="67" t="s">
        <v>359</v>
      </c>
      <c r="K59" s="8" t="s">
        <v>360</v>
      </c>
      <c r="L59" s="8" t="s">
        <v>239</v>
      </c>
      <c r="M59" s="7" t="s">
        <v>265</v>
      </c>
      <c r="N59" s="8" t="s">
        <v>24</v>
      </c>
      <c r="O59" s="8" t="s">
        <v>25</v>
      </c>
      <c r="P59" s="3" t="s">
        <v>26</v>
      </c>
      <c r="Q59" s="8" t="s">
        <v>361</v>
      </c>
      <c r="R59" s="7">
        <v>9598793218</v>
      </c>
      <c r="S59" s="35" t="s">
        <v>362</v>
      </c>
      <c r="T59" s="44" t="s">
        <v>415</v>
      </c>
      <c r="U59" s="49"/>
      <c r="V59" s="79"/>
      <c r="W59" s="2">
        <v>21</v>
      </c>
      <c r="X59" s="2">
        <f t="shared" si="0"/>
        <v>91.304347826086953</v>
      </c>
      <c r="Y59" s="2">
        <v>11</v>
      </c>
      <c r="Z59" s="2">
        <f t="shared" si="1"/>
        <v>32</v>
      </c>
      <c r="AA59" s="2">
        <f t="shared" si="2"/>
        <v>82.051282051282044</v>
      </c>
      <c r="AB59" s="2">
        <v>25</v>
      </c>
      <c r="AC59" s="2">
        <f t="shared" si="3"/>
        <v>57</v>
      </c>
      <c r="AD59" s="2">
        <f t="shared" si="4"/>
        <v>87.692307692307693</v>
      </c>
      <c r="AE59" s="2">
        <v>19</v>
      </c>
      <c r="AF59" s="2">
        <f t="shared" si="5"/>
        <v>76</v>
      </c>
      <c r="AG59" s="2">
        <f t="shared" si="6"/>
        <v>87.356321839080465</v>
      </c>
      <c r="AH59" s="2">
        <v>19</v>
      </c>
      <c r="AI59" s="2">
        <v>11</v>
      </c>
      <c r="AJ59" s="2">
        <v>15</v>
      </c>
      <c r="AK59" s="2">
        <v>9</v>
      </c>
      <c r="AL59" s="2">
        <v>11</v>
      </c>
      <c r="AM59" s="2">
        <f t="shared" si="7"/>
        <v>65</v>
      </c>
      <c r="AN59" s="2" t="s">
        <v>1972</v>
      </c>
      <c r="AO59" s="2" t="s">
        <v>1973</v>
      </c>
      <c r="AP59" s="2" t="s">
        <v>1974</v>
      </c>
      <c r="AQ59" s="2" t="s">
        <v>1975</v>
      </c>
      <c r="AR59" s="2" t="s">
        <v>1716</v>
      </c>
      <c r="AS59" s="2" t="s">
        <v>1717</v>
      </c>
      <c r="AT59" s="2" t="s">
        <v>1691</v>
      </c>
      <c r="AU59" s="2" t="s">
        <v>1692</v>
      </c>
      <c r="AV59" s="2" t="s">
        <v>1976</v>
      </c>
      <c r="AW59" s="2" t="s">
        <v>1977</v>
      </c>
      <c r="AX59" s="2" t="s">
        <v>1719</v>
      </c>
      <c r="AY59" s="2" t="s">
        <v>1206</v>
      </c>
      <c r="AZ59" s="2" t="s">
        <v>1720</v>
      </c>
      <c r="BA59" s="2" t="s">
        <v>1208</v>
      </c>
      <c r="BB59" s="2" t="s">
        <v>1269</v>
      </c>
      <c r="BC59" s="2" t="s">
        <v>1270</v>
      </c>
      <c r="BD59" s="2" t="s">
        <v>1978</v>
      </c>
      <c r="BE59" s="2" t="s">
        <v>1979</v>
      </c>
      <c r="BF59" s="2" t="s">
        <v>1723</v>
      </c>
      <c r="BG59" s="2" t="s">
        <v>1724</v>
      </c>
      <c r="BH59" s="2" t="s">
        <v>1980</v>
      </c>
      <c r="BI59" s="2" t="s">
        <v>1981</v>
      </c>
      <c r="BJ59" s="2" t="s">
        <v>1217</v>
      </c>
      <c r="BK59" s="2" t="s">
        <v>1218</v>
      </c>
      <c r="BL59" s="2" t="s">
        <v>1219</v>
      </c>
      <c r="BM59" s="2" t="s">
        <v>1220</v>
      </c>
      <c r="BN59" s="2" t="s">
        <v>1710</v>
      </c>
      <c r="BO59" s="2" t="s">
        <v>1711</v>
      </c>
      <c r="BP59" s="2" t="s">
        <v>1982</v>
      </c>
      <c r="BQ59" s="2" t="s">
        <v>1983</v>
      </c>
    </row>
    <row r="60" spans="1:69" x14ac:dyDescent="0.35">
      <c r="A60" s="2">
        <v>59</v>
      </c>
      <c r="B60" s="2" t="s">
        <v>2062</v>
      </c>
      <c r="C60" s="3">
        <v>38941</v>
      </c>
      <c r="D60" s="3">
        <v>1252255930</v>
      </c>
      <c r="E60" s="2">
        <v>23103967524</v>
      </c>
      <c r="F60" s="10">
        <v>385036541990</v>
      </c>
      <c r="G60" s="17" t="s">
        <v>118</v>
      </c>
      <c r="H60" s="17" t="s">
        <v>18</v>
      </c>
      <c r="I60" s="17" t="s">
        <v>120</v>
      </c>
      <c r="J60" s="8" t="s">
        <v>363</v>
      </c>
      <c r="K60" s="8" t="s">
        <v>364</v>
      </c>
      <c r="L60" s="8" t="s">
        <v>365</v>
      </c>
      <c r="M60" s="7" t="s">
        <v>265</v>
      </c>
      <c r="N60" s="8" t="s">
        <v>36</v>
      </c>
      <c r="O60" s="8" t="s">
        <v>37</v>
      </c>
      <c r="P60" s="3" t="s">
        <v>26</v>
      </c>
      <c r="Q60" s="8" t="s">
        <v>366</v>
      </c>
      <c r="R60" s="7">
        <v>9838999245</v>
      </c>
      <c r="S60" s="12" t="s">
        <v>367</v>
      </c>
      <c r="T60" s="44" t="s">
        <v>410</v>
      </c>
      <c r="U60" s="52" t="s">
        <v>414</v>
      </c>
      <c r="V60" s="79" t="s">
        <v>414</v>
      </c>
      <c r="W60" s="2">
        <v>22</v>
      </c>
      <c r="X60" s="2">
        <f t="shared" si="0"/>
        <v>95.652173913043484</v>
      </c>
      <c r="Y60" s="2">
        <v>12</v>
      </c>
      <c r="Z60" s="2">
        <f t="shared" si="1"/>
        <v>34</v>
      </c>
      <c r="AA60" s="2">
        <f t="shared" si="2"/>
        <v>87.179487179487182</v>
      </c>
      <c r="AB60" s="2">
        <v>22</v>
      </c>
      <c r="AC60" s="2">
        <f t="shared" si="3"/>
        <v>56</v>
      </c>
      <c r="AD60" s="2">
        <f t="shared" si="4"/>
        <v>86.15384615384616</v>
      </c>
      <c r="AE60" s="2">
        <v>18</v>
      </c>
      <c r="AF60" s="2">
        <f t="shared" si="5"/>
        <v>74</v>
      </c>
      <c r="AG60" s="2">
        <f t="shared" si="6"/>
        <v>85.057471264367805</v>
      </c>
      <c r="AH60" s="2">
        <v>12</v>
      </c>
      <c r="AI60" s="2">
        <v>8</v>
      </c>
      <c r="AJ60" s="2">
        <v>7</v>
      </c>
      <c r="AK60" s="2">
        <v>1</v>
      </c>
      <c r="AL60" s="2">
        <v>4</v>
      </c>
      <c r="AM60" s="2">
        <f t="shared" si="7"/>
        <v>32</v>
      </c>
      <c r="AN60" s="2" t="s">
        <v>1984</v>
      </c>
      <c r="AO60" s="2" t="s">
        <v>1985</v>
      </c>
      <c r="AP60" s="2" t="s">
        <v>1986</v>
      </c>
      <c r="AQ60" s="2" t="s">
        <v>1987</v>
      </c>
      <c r="AR60" s="2" t="s">
        <v>1716</v>
      </c>
      <c r="AS60" s="2" t="s">
        <v>1717</v>
      </c>
      <c r="AT60" s="2" t="s">
        <v>1691</v>
      </c>
      <c r="AU60" s="2" t="s">
        <v>1692</v>
      </c>
      <c r="AV60" s="2" t="s">
        <v>1718</v>
      </c>
      <c r="AW60" s="2" t="s">
        <v>1666</v>
      </c>
      <c r="AX60" s="2" t="s">
        <v>1719</v>
      </c>
      <c r="AY60" s="2" t="s">
        <v>1206</v>
      </c>
      <c r="AZ60" s="2" t="s">
        <v>1720</v>
      </c>
      <c r="BA60" s="2" t="s">
        <v>1208</v>
      </c>
      <c r="BB60" s="2" t="s">
        <v>1269</v>
      </c>
      <c r="BC60" s="2" t="s">
        <v>1270</v>
      </c>
      <c r="BD60" s="2" t="s">
        <v>1988</v>
      </c>
      <c r="BE60" s="2" t="s">
        <v>1989</v>
      </c>
      <c r="BF60" s="2" t="s">
        <v>1723</v>
      </c>
      <c r="BG60" s="2" t="s">
        <v>1724</v>
      </c>
      <c r="BH60" s="2" t="s">
        <v>1725</v>
      </c>
      <c r="BI60" s="2" t="s">
        <v>1216</v>
      </c>
      <c r="BJ60" s="2" t="s">
        <v>1217</v>
      </c>
      <c r="BK60" s="2" t="s">
        <v>1218</v>
      </c>
      <c r="BL60" s="2" t="s">
        <v>1219</v>
      </c>
      <c r="BM60" s="2" t="s">
        <v>1220</v>
      </c>
      <c r="BN60" s="2" t="s">
        <v>1990</v>
      </c>
      <c r="BO60" s="2" t="s">
        <v>1991</v>
      </c>
      <c r="BP60" s="2" t="s">
        <v>1992</v>
      </c>
      <c r="BQ60" s="2" t="s">
        <v>1993</v>
      </c>
    </row>
    <row r="61" spans="1:69" x14ac:dyDescent="0.35">
      <c r="A61" s="2">
        <v>60</v>
      </c>
      <c r="B61" s="2" t="s">
        <v>2062</v>
      </c>
      <c r="C61" s="3">
        <v>37293</v>
      </c>
      <c r="D61" s="3">
        <v>1252255939</v>
      </c>
      <c r="E61" s="2">
        <v>21283907958</v>
      </c>
      <c r="F61" s="39">
        <v>430857033624</v>
      </c>
      <c r="G61" s="8" t="s">
        <v>65</v>
      </c>
      <c r="H61" s="8" t="s">
        <v>41</v>
      </c>
      <c r="I61" s="8" t="s">
        <v>32</v>
      </c>
      <c r="J61" s="8" t="s">
        <v>368</v>
      </c>
      <c r="K61" s="8" t="s">
        <v>369</v>
      </c>
      <c r="L61" s="8" t="s">
        <v>370</v>
      </c>
      <c r="M61" s="7" t="s">
        <v>265</v>
      </c>
      <c r="N61" s="8" t="s">
        <v>298</v>
      </c>
      <c r="O61" s="8" t="s">
        <v>25</v>
      </c>
      <c r="P61" s="3" t="s">
        <v>23</v>
      </c>
      <c r="Q61" s="8" t="s">
        <v>111</v>
      </c>
      <c r="R61" s="7">
        <v>9250040459</v>
      </c>
      <c r="S61" s="35" t="s">
        <v>371</v>
      </c>
      <c r="T61" s="44" t="s">
        <v>410</v>
      </c>
      <c r="U61" s="52"/>
      <c r="V61" s="79"/>
      <c r="W61" s="2">
        <v>21</v>
      </c>
      <c r="X61" s="2">
        <f t="shared" si="0"/>
        <v>91.304347826086953</v>
      </c>
      <c r="Y61" s="2">
        <v>14</v>
      </c>
      <c r="Z61" s="2">
        <f t="shared" si="1"/>
        <v>35</v>
      </c>
      <c r="AA61" s="2">
        <f t="shared" si="2"/>
        <v>89.743589743589752</v>
      </c>
      <c r="AB61" s="2">
        <v>18</v>
      </c>
      <c r="AC61" s="2">
        <f t="shared" si="3"/>
        <v>53</v>
      </c>
      <c r="AD61" s="2">
        <f t="shared" si="4"/>
        <v>81.538461538461533</v>
      </c>
      <c r="AE61" s="2">
        <v>19</v>
      </c>
      <c r="AF61" s="2">
        <f t="shared" si="5"/>
        <v>72</v>
      </c>
      <c r="AG61" s="2">
        <f t="shared" si="6"/>
        <v>82.758620689655174</v>
      </c>
      <c r="AH61" s="2">
        <v>10</v>
      </c>
      <c r="AI61" s="2">
        <v>4</v>
      </c>
      <c r="AJ61" s="2">
        <v>1</v>
      </c>
      <c r="AK61" s="2">
        <v>2</v>
      </c>
      <c r="AL61" s="2">
        <v>0</v>
      </c>
      <c r="AM61" s="2">
        <f t="shared" si="7"/>
        <v>17</v>
      </c>
      <c r="AN61" s="2" t="s">
        <v>808</v>
      </c>
      <c r="AO61" s="2" t="s">
        <v>1994</v>
      </c>
      <c r="AP61" s="2" t="s">
        <v>1995</v>
      </c>
      <c r="AQ61" s="2" t="s">
        <v>1996</v>
      </c>
      <c r="AR61" s="2" t="s">
        <v>1734</v>
      </c>
      <c r="AS61" s="2" t="s">
        <v>1200</v>
      </c>
      <c r="AT61" s="2" t="s">
        <v>1261</v>
      </c>
      <c r="AU61" s="2" t="s">
        <v>1262</v>
      </c>
      <c r="AV61" s="2" t="s">
        <v>1263</v>
      </c>
      <c r="AW61" s="2" t="s">
        <v>1264</v>
      </c>
      <c r="AX61" s="2" t="s">
        <v>1997</v>
      </c>
      <c r="AY61" s="2" t="s">
        <v>1998</v>
      </c>
      <c r="AZ61" s="2" t="s">
        <v>1999</v>
      </c>
      <c r="BA61" s="2" t="s">
        <v>2000</v>
      </c>
      <c r="BB61" s="2" t="s">
        <v>2001</v>
      </c>
      <c r="BC61" s="2" t="s">
        <v>2002</v>
      </c>
      <c r="BD61" s="2" t="s">
        <v>2003</v>
      </c>
      <c r="BE61" s="2" t="s">
        <v>2004</v>
      </c>
      <c r="BF61" s="2" t="s">
        <v>2005</v>
      </c>
      <c r="BG61" s="2" t="s">
        <v>2006</v>
      </c>
      <c r="BH61" s="2" t="s">
        <v>2007</v>
      </c>
      <c r="BI61" s="2" t="s">
        <v>2008</v>
      </c>
      <c r="BJ61" s="2" t="s">
        <v>2009</v>
      </c>
      <c r="BK61" s="2" t="s">
        <v>2010</v>
      </c>
      <c r="BL61" s="2" t="s">
        <v>1773</v>
      </c>
      <c r="BM61" s="2" t="s">
        <v>1681</v>
      </c>
      <c r="BN61" s="2" t="s">
        <v>2011</v>
      </c>
      <c r="BO61" s="2" t="s">
        <v>2012</v>
      </c>
      <c r="BP61" s="2" t="s">
        <v>2013</v>
      </c>
      <c r="BQ61" s="2" t="s">
        <v>2014</v>
      </c>
    </row>
    <row r="62" spans="1:69" x14ac:dyDescent="0.35">
      <c r="A62" s="2">
        <v>61</v>
      </c>
      <c r="B62" s="2" t="s">
        <v>2062</v>
      </c>
      <c r="C62" s="3">
        <v>37246</v>
      </c>
      <c r="D62" s="3">
        <v>1252255943</v>
      </c>
      <c r="E62" s="2">
        <v>21695709956</v>
      </c>
      <c r="F62" s="4">
        <v>284991701697</v>
      </c>
      <c r="G62" s="8" t="s">
        <v>103</v>
      </c>
      <c r="H62" s="8" t="s">
        <v>57</v>
      </c>
      <c r="I62" s="8" t="s">
        <v>120</v>
      </c>
      <c r="J62" s="8" t="s">
        <v>382</v>
      </c>
      <c r="K62" s="8" t="s">
        <v>383</v>
      </c>
      <c r="L62" s="8" t="s">
        <v>384</v>
      </c>
      <c r="M62" s="7" t="s">
        <v>265</v>
      </c>
      <c r="N62" s="8" t="s">
        <v>24</v>
      </c>
      <c r="O62" s="8" t="s">
        <v>25</v>
      </c>
      <c r="P62" s="3" t="s">
        <v>26</v>
      </c>
      <c r="Q62" s="8" t="s">
        <v>111</v>
      </c>
      <c r="R62" s="7">
        <v>9450361868</v>
      </c>
      <c r="S62" s="35" t="s">
        <v>385</v>
      </c>
      <c r="T62" s="44" t="s">
        <v>410</v>
      </c>
      <c r="U62" s="52"/>
      <c r="V62" s="79"/>
      <c r="W62" s="2">
        <v>22</v>
      </c>
      <c r="X62" s="2">
        <f t="shared" si="0"/>
        <v>95.652173913043484</v>
      </c>
      <c r="Y62" s="2">
        <v>16</v>
      </c>
      <c r="Z62" s="2">
        <f t="shared" si="1"/>
        <v>38</v>
      </c>
      <c r="AA62" s="2">
        <f t="shared" si="2"/>
        <v>97.435897435897431</v>
      </c>
      <c r="AB62" s="2">
        <v>24</v>
      </c>
      <c r="AC62" s="2">
        <f t="shared" si="3"/>
        <v>62</v>
      </c>
      <c r="AD62" s="2">
        <f t="shared" si="4"/>
        <v>95.384615384615387</v>
      </c>
      <c r="AE62" s="2">
        <v>22</v>
      </c>
      <c r="AF62" s="2">
        <f t="shared" si="5"/>
        <v>84</v>
      </c>
      <c r="AG62" s="2">
        <f t="shared" si="6"/>
        <v>96.551724137931032</v>
      </c>
      <c r="AH62" s="2">
        <v>13</v>
      </c>
      <c r="AI62" s="2">
        <v>5</v>
      </c>
      <c r="AJ62" s="2">
        <v>12</v>
      </c>
      <c r="AK62" s="2">
        <v>7</v>
      </c>
      <c r="AL62" s="2">
        <v>10</v>
      </c>
      <c r="AM62" s="2">
        <f t="shared" si="7"/>
        <v>47</v>
      </c>
      <c r="AN62" s="2" t="s">
        <v>2015</v>
      </c>
      <c r="AO62" s="2" t="s">
        <v>2016</v>
      </c>
      <c r="AP62" s="2" t="s">
        <v>2017</v>
      </c>
      <c r="AQ62" s="2" t="s">
        <v>2018</v>
      </c>
      <c r="AR62" s="2" t="s">
        <v>2019</v>
      </c>
      <c r="AS62" s="2" t="s">
        <v>2020</v>
      </c>
      <c r="AT62" s="2" t="s">
        <v>2021</v>
      </c>
      <c r="AU62" s="2" t="s">
        <v>2022</v>
      </c>
      <c r="AV62" s="2" t="s">
        <v>2023</v>
      </c>
      <c r="AW62" s="2" t="s">
        <v>2024</v>
      </c>
      <c r="AX62" s="2" t="s">
        <v>2025</v>
      </c>
      <c r="AY62" s="2" t="s">
        <v>2026</v>
      </c>
      <c r="AZ62" s="2" t="s">
        <v>2027</v>
      </c>
      <c r="BA62" s="2" t="s">
        <v>2028</v>
      </c>
      <c r="BB62" s="2" t="s">
        <v>2029</v>
      </c>
      <c r="BC62" s="2" t="s">
        <v>2030</v>
      </c>
      <c r="BD62" s="2" t="s">
        <v>2031</v>
      </c>
      <c r="BE62" s="2" t="s">
        <v>2032</v>
      </c>
      <c r="BF62" s="2" t="s">
        <v>2033</v>
      </c>
      <c r="BG62" s="2" t="s">
        <v>2034</v>
      </c>
      <c r="BH62" s="2" t="s">
        <v>2035</v>
      </c>
      <c r="BI62" s="2" t="s">
        <v>2036</v>
      </c>
      <c r="BJ62" s="2" t="s">
        <v>2037</v>
      </c>
      <c r="BK62" s="2" t="s">
        <v>2038</v>
      </c>
      <c r="BL62" s="2" t="s">
        <v>2039</v>
      </c>
      <c r="BM62" s="2" t="s">
        <v>2040</v>
      </c>
      <c r="BN62" s="2" t="s">
        <v>2041</v>
      </c>
      <c r="BO62" s="2" t="s">
        <v>2042</v>
      </c>
      <c r="BP62" s="2" t="s">
        <v>2043</v>
      </c>
      <c r="BQ62" s="2" t="s">
        <v>2044</v>
      </c>
    </row>
    <row r="63" spans="1:69" x14ac:dyDescent="0.35">
      <c r="A63" s="2">
        <v>62</v>
      </c>
      <c r="B63" s="2" t="s">
        <v>2062</v>
      </c>
      <c r="C63" s="3">
        <v>37072</v>
      </c>
      <c r="D63" s="3">
        <v>1252255945</v>
      </c>
      <c r="E63" s="2">
        <v>21273214630</v>
      </c>
      <c r="F63" s="4">
        <v>310773766768</v>
      </c>
      <c r="G63" s="8" t="s">
        <v>95</v>
      </c>
      <c r="H63" s="8" t="s">
        <v>65</v>
      </c>
      <c r="I63" s="8" t="s">
        <v>32</v>
      </c>
      <c r="J63" s="8" t="s">
        <v>377</v>
      </c>
      <c r="K63" s="8" t="s">
        <v>378</v>
      </c>
      <c r="L63" s="8" t="s">
        <v>379</v>
      </c>
      <c r="M63" s="7" t="s">
        <v>265</v>
      </c>
      <c r="N63" s="8" t="s">
        <v>298</v>
      </c>
      <c r="O63" s="8" t="s">
        <v>25</v>
      </c>
      <c r="P63" s="3" t="s">
        <v>23</v>
      </c>
      <c r="Q63" s="8" t="s">
        <v>380</v>
      </c>
      <c r="R63" s="7">
        <v>8318344674</v>
      </c>
      <c r="S63" s="9" t="s">
        <v>381</v>
      </c>
      <c r="T63" s="44" t="s">
        <v>410</v>
      </c>
      <c r="U63" s="52"/>
      <c r="V63" s="79"/>
      <c r="W63" s="2">
        <v>12</v>
      </c>
      <c r="X63" s="2">
        <f t="shared" si="0"/>
        <v>52.173913043478258</v>
      </c>
      <c r="Y63" s="2">
        <v>9</v>
      </c>
      <c r="Z63" s="2">
        <f t="shared" si="1"/>
        <v>21</v>
      </c>
      <c r="AA63" s="2">
        <f t="shared" si="2"/>
        <v>53.846153846153847</v>
      </c>
      <c r="AB63" s="2">
        <v>19</v>
      </c>
      <c r="AC63" s="2">
        <f t="shared" si="3"/>
        <v>40</v>
      </c>
      <c r="AD63" s="2">
        <f t="shared" si="4"/>
        <v>61.53846153846154</v>
      </c>
      <c r="AE63" s="2">
        <v>15</v>
      </c>
      <c r="AF63" s="2">
        <f t="shared" si="5"/>
        <v>55</v>
      </c>
      <c r="AG63" s="2">
        <f t="shared" si="6"/>
        <v>63.218390804597703</v>
      </c>
      <c r="AH63" s="2">
        <v>14</v>
      </c>
      <c r="AI63" s="2">
        <v>6</v>
      </c>
      <c r="AJ63" s="2">
        <v>9</v>
      </c>
      <c r="AK63" s="2">
        <v>2</v>
      </c>
      <c r="AL63" s="2">
        <v>7</v>
      </c>
      <c r="AM63" s="2">
        <f t="shared" si="7"/>
        <v>38</v>
      </c>
      <c r="AN63" s="2" t="s">
        <v>2045</v>
      </c>
      <c r="AO63" s="2" t="s">
        <v>2046</v>
      </c>
      <c r="AP63" s="2" t="s">
        <v>2047</v>
      </c>
      <c r="AQ63" s="2" t="s">
        <v>2048</v>
      </c>
      <c r="AR63" s="2" t="s">
        <v>1716</v>
      </c>
      <c r="AS63" s="2" t="s">
        <v>1717</v>
      </c>
      <c r="AT63" s="2" t="s">
        <v>1691</v>
      </c>
      <c r="AU63" s="2" t="s">
        <v>1692</v>
      </c>
      <c r="AV63" s="2" t="s">
        <v>1636</v>
      </c>
      <c r="AW63" s="2" t="s">
        <v>2049</v>
      </c>
      <c r="AX63" s="2" t="s">
        <v>2050</v>
      </c>
      <c r="AY63" s="2" t="s">
        <v>2051</v>
      </c>
      <c r="AZ63" s="2" t="s">
        <v>1720</v>
      </c>
      <c r="BA63" s="2" t="s">
        <v>1208</v>
      </c>
      <c r="BB63" s="2" t="s">
        <v>1269</v>
      </c>
      <c r="BC63" s="2" t="s">
        <v>1270</v>
      </c>
      <c r="BD63" s="2" t="s">
        <v>2052</v>
      </c>
      <c r="BE63" s="2" t="s">
        <v>2053</v>
      </c>
      <c r="BF63" s="2" t="s">
        <v>1723</v>
      </c>
      <c r="BG63" s="2" t="s">
        <v>1724</v>
      </c>
      <c r="BH63" s="2" t="s">
        <v>1725</v>
      </c>
      <c r="BI63" s="2" t="s">
        <v>1216</v>
      </c>
      <c r="BJ63" s="2" t="s">
        <v>1217</v>
      </c>
      <c r="BK63" s="2" t="s">
        <v>1218</v>
      </c>
      <c r="BL63" s="2" t="s">
        <v>1219</v>
      </c>
      <c r="BM63" s="2" t="s">
        <v>1220</v>
      </c>
      <c r="BN63" s="2" t="s">
        <v>1710</v>
      </c>
      <c r="BO63" s="2" t="s">
        <v>1711</v>
      </c>
      <c r="BP63" s="2" t="s">
        <v>1283</v>
      </c>
      <c r="BQ63" s="2" t="s">
        <v>1284</v>
      </c>
    </row>
    <row r="64" spans="1:69" x14ac:dyDescent="0.35">
      <c r="A64" s="2">
        <v>63</v>
      </c>
      <c r="B64" s="2" t="s">
        <v>2062</v>
      </c>
      <c r="C64" s="3">
        <v>37118</v>
      </c>
      <c r="D64" s="3">
        <v>1252255949</v>
      </c>
      <c r="E64" s="2">
        <v>21242529423</v>
      </c>
      <c r="F64" s="4">
        <v>361855043685</v>
      </c>
      <c r="G64" s="8" t="s">
        <v>204</v>
      </c>
      <c r="H64" s="8" t="s">
        <v>65</v>
      </c>
      <c r="I64" s="8" t="s">
        <v>19</v>
      </c>
      <c r="J64" s="8" t="s">
        <v>386</v>
      </c>
      <c r="K64" s="8" t="s">
        <v>387</v>
      </c>
      <c r="L64" s="8" t="s">
        <v>388</v>
      </c>
      <c r="M64" s="7" t="s">
        <v>265</v>
      </c>
      <c r="N64" s="8" t="s">
        <v>298</v>
      </c>
      <c r="O64" s="8" t="s">
        <v>25</v>
      </c>
      <c r="P64" s="3" t="s">
        <v>23</v>
      </c>
      <c r="Q64" s="8" t="s">
        <v>389</v>
      </c>
      <c r="R64" s="7">
        <v>8081238677</v>
      </c>
      <c r="S64" s="9" t="s">
        <v>390</v>
      </c>
      <c r="T64" s="44" t="s">
        <v>410</v>
      </c>
      <c r="U64" s="52"/>
      <c r="V64" s="79"/>
      <c r="W64" s="2">
        <v>20</v>
      </c>
      <c r="X64" s="2">
        <f t="shared" si="0"/>
        <v>86.956521739130437</v>
      </c>
      <c r="Y64" s="2">
        <v>14</v>
      </c>
      <c r="Z64" s="2">
        <f t="shared" si="1"/>
        <v>34</v>
      </c>
      <c r="AA64" s="2">
        <f t="shared" si="2"/>
        <v>87.179487179487182</v>
      </c>
      <c r="AB64" s="2">
        <v>25</v>
      </c>
      <c r="AC64" s="2">
        <f t="shared" si="3"/>
        <v>59</v>
      </c>
      <c r="AD64" s="2">
        <f t="shared" si="4"/>
        <v>90.769230769230774</v>
      </c>
      <c r="AE64" s="2">
        <v>20</v>
      </c>
      <c r="AF64" s="2">
        <f t="shared" si="5"/>
        <v>79</v>
      </c>
      <c r="AG64" s="2">
        <f t="shared" si="6"/>
        <v>90.804597701149419</v>
      </c>
      <c r="AH64" s="2">
        <v>16</v>
      </c>
      <c r="AI64" s="2">
        <v>13</v>
      </c>
      <c r="AJ64" s="2">
        <v>14</v>
      </c>
      <c r="AK64" s="2">
        <v>12</v>
      </c>
      <c r="AL64" s="2">
        <v>11</v>
      </c>
      <c r="AM64" s="2">
        <f t="shared" si="7"/>
        <v>66</v>
      </c>
      <c r="AN64" s="2" t="s">
        <v>688</v>
      </c>
      <c r="AO64" s="2" t="s">
        <v>1136</v>
      </c>
      <c r="AP64" s="2" t="s">
        <v>2054</v>
      </c>
      <c r="AQ64" s="2" t="s">
        <v>2055</v>
      </c>
      <c r="AR64" s="2" t="s">
        <v>1716</v>
      </c>
      <c r="AS64" s="2" t="s">
        <v>1717</v>
      </c>
      <c r="AT64" s="2" t="s">
        <v>1691</v>
      </c>
      <c r="AU64" s="2" t="s">
        <v>1692</v>
      </c>
      <c r="AV64" s="2" t="s">
        <v>1392</v>
      </c>
      <c r="AW64" s="2" t="s">
        <v>1666</v>
      </c>
      <c r="AX64" s="2" t="s">
        <v>1719</v>
      </c>
      <c r="AY64" s="2" t="s">
        <v>1206</v>
      </c>
      <c r="AZ64" s="2" t="s">
        <v>1720</v>
      </c>
      <c r="BA64" s="2" t="s">
        <v>1208</v>
      </c>
      <c r="BB64" s="2" t="s">
        <v>1269</v>
      </c>
      <c r="BC64" s="2" t="s">
        <v>1270</v>
      </c>
      <c r="BD64" s="2" t="s">
        <v>2056</v>
      </c>
      <c r="BE64" s="2" t="s">
        <v>2057</v>
      </c>
      <c r="BF64" s="2" t="s">
        <v>1723</v>
      </c>
      <c r="BG64" s="2" t="s">
        <v>1724</v>
      </c>
      <c r="BH64" s="2" t="s">
        <v>1725</v>
      </c>
      <c r="BI64" s="2" t="s">
        <v>1216</v>
      </c>
      <c r="BJ64" s="2" t="s">
        <v>1217</v>
      </c>
      <c r="BK64" s="2" t="s">
        <v>1218</v>
      </c>
      <c r="BL64" s="2" t="s">
        <v>1219</v>
      </c>
      <c r="BM64" s="2" t="s">
        <v>1220</v>
      </c>
      <c r="BN64" s="2" t="s">
        <v>2058</v>
      </c>
      <c r="BO64" s="2" t="s">
        <v>2059</v>
      </c>
      <c r="BP64" s="2" t="s">
        <v>2060</v>
      </c>
      <c r="BQ64" s="2" t="s">
        <v>2061</v>
      </c>
    </row>
    <row r="65" spans="13:22" x14ac:dyDescent="0.35">
      <c r="T65" s="63"/>
      <c r="U65" s="63"/>
      <c r="V65" s="64"/>
    </row>
    <row r="66" spans="13:22" x14ac:dyDescent="0.35">
      <c r="T66" s="65"/>
      <c r="U66" s="65"/>
      <c r="V66" s="65"/>
    </row>
    <row r="67" spans="13:22" x14ac:dyDescent="0.35">
      <c r="M67" s="43"/>
      <c r="N67" s="43"/>
      <c r="O67" s="43"/>
      <c r="P67" s="43"/>
      <c r="Q67" s="43"/>
      <c r="R67" s="43"/>
      <c r="S67" s="43"/>
      <c r="T67" s="65"/>
      <c r="U67" s="65"/>
      <c r="V67" s="65"/>
    </row>
    <row r="68" spans="13:22" x14ac:dyDescent="0.35">
      <c r="M68" s="43"/>
      <c r="N68" s="43"/>
      <c r="O68" s="43"/>
      <c r="P68" s="43"/>
      <c r="Q68" s="43"/>
      <c r="R68" s="43"/>
      <c r="S68" s="43"/>
      <c r="T68" s="65"/>
      <c r="U68" s="65"/>
      <c r="V68" s="65"/>
    </row>
    <row r="69" spans="13:22" x14ac:dyDescent="0.35">
      <c r="M69" s="43"/>
      <c r="N69" s="43"/>
      <c r="O69" s="43"/>
      <c r="P69" s="43"/>
      <c r="Q69" s="43"/>
      <c r="R69" s="43"/>
      <c r="S69" s="43"/>
      <c r="T69" s="65"/>
      <c r="U69" s="65"/>
      <c r="V69" s="65"/>
    </row>
  </sheetData>
  <autoFilter ref="A1:V65"/>
  <sortState ref="A3:AC72">
    <sortCondition ref="A3:A72"/>
  </sortState>
  <dataConsolidate/>
  <hyperlinks>
    <hyperlink ref="S2" r:id="rId1"/>
    <hyperlink ref="S19" r:id="rId2"/>
    <hyperlink ref="S20" r:id="rId3"/>
    <hyperlink ref="S25" r:id="rId4"/>
    <hyperlink ref="S27" r:id="rId5"/>
    <hyperlink ref="S32" r:id="rId6"/>
    <hyperlink ref="S41" r:id="rId7"/>
    <hyperlink ref="S42" r:id="rId8"/>
    <hyperlink ref="S46" r:id="rId9"/>
    <hyperlink ref="S48" r:id="rId10"/>
    <hyperlink ref="S38" r:id="rId11"/>
    <hyperlink ref="S44" r:id="rId12"/>
    <hyperlink ref="S51" r:id="rId13"/>
    <hyperlink ref="S45" r:id="rId14"/>
    <hyperlink ref="S49" r:id="rId15"/>
    <hyperlink ref="S52" r:id="rId16"/>
    <hyperlink ref="S54" r:id="rId17"/>
    <hyperlink ref="S55" r:id="rId18"/>
    <hyperlink ref="S56" r:id="rId19"/>
    <hyperlink ref="S57" r:id="rId20"/>
    <hyperlink ref="S59" r:id="rId21"/>
    <hyperlink ref="S61" r:id="rId22"/>
    <hyperlink ref="S62" r:id="rId23"/>
    <hyperlink ref="S63" r:id="rId24"/>
    <hyperlink ref="S64" r:id="rId25"/>
    <hyperlink ref="S13" r:id="rId26"/>
    <hyperlink ref="S16" r:id="rId27"/>
    <hyperlink ref="S7" r:id="rId28"/>
    <hyperlink ref="S10" r:id="rId29"/>
    <hyperlink ref="S21" r:id="rId30"/>
    <hyperlink ref="S22" r:id="rId31"/>
    <hyperlink ref="S24" r:id="rId32"/>
    <hyperlink ref="S28" r:id="rId33"/>
    <hyperlink ref="S29" r:id="rId34"/>
    <hyperlink ref="S31" r:id="rId35"/>
    <hyperlink ref="S33" r:id="rId36"/>
    <hyperlink ref="S34" r:id="rId37"/>
    <hyperlink ref="S35" r:id="rId38"/>
    <hyperlink ref="S39" r:id="rId39"/>
    <hyperlink ref="S43" r:id="rId40"/>
    <hyperlink ref="S47" r:id="rId41"/>
    <hyperlink ref="S50" r:id="rId42"/>
    <hyperlink ref="S60" r:id="rId43"/>
    <hyperlink ref="S37" r:id="rId44"/>
    <hyperlink ref="S30" r:id="rId45"/>
    <hyperlink ref="S26" r:id="rId46"/>
    <hyperlink ref="S40" r:id="rId47"/>
    <hyperlink ref="S12" r:id="rId48"/>
    <hyperlink ref="S4" r:id="rId49"/>
    <hyperlink ref="S3" r:id="rId50"/>
    <hyperlink ref="S23" r:id="rId51"/>
    <hyperlink ref="S58" r:id="rId52"/>
    <hyperlink ref="S9" r:id="rId53"/>
    <hyperlink ref="S36" r:id="rId54"/>
    <hyperlink ref="S53" r:id="rId55"/>
    <hyperlink ref="S15" r:id="rId56"/>
    <hyperlink ref="S17" r:id="rId57"/>
    <hyperlink ref="S11" r:id="rId58"/>
  </hyperlinks>
  <pageMargins left="0.25" right="0.25" top="0.75" bottom="0.75" header="0.3" footer="0.3"/>
  <pageSetup paperSize="9" scale="64" pageOrder="overThenDown" orientation="landscape" r:id="rId59"/>
  <rowBreaks count="1" manualBreakCount="1">
    <brk id="34" max="27" man="1"/>
  </rowBreaks>
  <colBreaks count="1" manualBreakCount="1">
    <brk id="12" max="7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overall data</vt:lpstr>
      <vt:lpstr>'overall data'!Print_Area</vt:lpstr>
      <vt:lpstr>'overall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abic13296</dc:creator>
  <cp:lastModifiedBy>LENOVO</cp:lastModifiedBy>
  <cp:lastPrinted>2026-08-27T07:45:48Z</cp:lastPrinted>
  <dcterms:created xsi:type="dcterms:W3CDTF">2025-09-10T16:28:02Z</dcterms:created>
  <dcterms:modified xsi:type="dcterms:W3CDTF">2026-09-07T17:47:19Z</dcterms:modified>
</cp:coreProperties>
</file>